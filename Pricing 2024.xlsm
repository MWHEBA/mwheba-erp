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3.xml" ContentType="application/vnd.openxmlformats-officedocument.spreadsheetml.queryTable+xml"/>
  <Override PartName="/xl/drawings/drawing10.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drawings/drawing11.xml" ContentType="application/vnd.openxmlformats-officedocument.drawing+xml"/>
  <Override PartName="/xl/tables/table1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UTD\Desktop\"/>
    </mc:Choice>
  </mc:AlternateContent>
  <xr:revisionPtr revIDLastSave="0" documentId="13_ncr:1_{97CED7EF-72F7-4BEA-A5BF-C0BA48669376}" xr6:coauthVersionLast="47" xr6:coauthVersionMax="47" xr10:uidLastSave="{00000000-0000-0000-0000-000000000000}"/>
  <bookViews>
    <workbookView xWindow="-120" yWindow="-120" windowWidth="29040" windowHeight="15720" tabRatio="460" xr2:uid="{00000000-000D-0000-FFFF-FFFF00000000}"/>
  </bookViews>
  <sheets>
    <sheet name="مطبوعات" sheetId="1" r:id="rId1"/>
    <sheet name="يفط" sheetId="15" state="hidden" r:id="rId2"/>
    <sheet name="دفاتر" sheetId="7" state="hidden" r:id="rId3"/>
    <sheet name="أظرف" sheetId="17" state="hidden" r:id="rId4"/>
    <sheet name="حسابات الموردين" sheetId="3" r:id="rId5"/>
    <sheet name="تسعير أوفست" sheetId="5" state="hidden" r:id="rId6"/>
    <sheet name="تسعير ديجيتال" sheetId="6" state="hidden" r:id="rId7"/>
    <sheet name="تسعير أوفست داخلي" sheetId="8" state="hidden" r:id="rId8"/>
    <sheet name="تسعير ديجيتال داخلي" sheetId="9" state="hidden" r:id="rId9"/>
    <sheet name="المطابع" sheetId="10" state="hidden" r:id="rId10"/>
    <sheet name="خدمات الطباعة" sheetId="11" state="hidden" r:id="rId11"/>
    <sheet name="أفلام وزنكات" sheetId="12" state="hidden" r:id="rId12"/>
    <sheet name="أسعار الورق" sheetId="14" state="hidden" r:id="rId13"/>
    <sheet name="Data" sheetId="2" state="hidden" r:id="rId14"/>
    <sheet name="MainSht" sheetId="4" state="hidden" r:id="rId15"/>
  </sheets>
  <definedNames>
    <definedName name="CTP_mktb">OFFSET(Data!$F$3,0,0,COUNTA(Data!$F:$F)-1,1)</definedName>
    <definedName name="Digital_Presses">OFFSET(Data!$D$3,0,0,COUNTA(Data!$D:$D)-1,1)</definedName>
    <definedName name="ExternalData_1" localSheetId="13" hidden="1">Data!$A$2:$O$14</definedName>
    <definedName name="ExternalData_1" localSheetId="12" hidden="1">'أسعار الورق'!$B$2:$L$74</definedName>
    <definedName name="ExternalData_1" localSheetId="11" hidden="1">'أفلام وزنكات'!$A$2:$D$20</definedName>
    <definedName name="ExternalData_1" localSheetId="9" hidden="1">المطابع!$A$2:$L$58</definedName>
    <definedName name="ExternalData_1" localSheetId="10" hidden="1">'خدمات الطباعة'!$A$2:$Q$12</definedName>
    <definedName name="ExternalData_2" localSheetId="12" hidden="1">'أسعار الورق'!$N$3:$Q$25</definedName>
    <definedName name="Finishing">OFFSET(Data!$O$3,0,0,COUNTA(Data!$O:$O)-1,1)</definedName>
    <definedName name="Lamination_After">OFFSET(Data!$N$3,0,0,COUNTA(Data!$N:$N)-1,1)</definedName>
    <definedName name="Lamination_Services">OFFSET(Data!$M$3,0,0,COUNTA(Data!$M:$M)-1,1)</definedName>
    <definedName name="Mkn_Sizes">OFFSET(Data!$I$4,0,0,COUNTA(Data!$I:$I)-2,1)</definedName>
    <definedName name="Offset_presses">OFFSET(Data!$C$3,0,0,COUNTA(Data!$C:$C)-1,1)</definedName>
    <definedName name="Papers_ma5zan">OFFSET(Data!$G$3,0,0,COUNTA(Data!$G:$G)-1,1)</definedName>
    <definedName name="Papers_no3">OFFSET('أسعار الورق'!$O$4,0,0,COUNTA('أسعار الورق'!$O:$O)-1,1)</definedName>
    <definedName name="Papers_Origin">OFFSET('أسعار الورق'!$N$4,0,0,COUNTA('أسعار الورق'!$N:$N)-1,1)</definedName>
    <definedName name="_xlnm.Print_Area" localSheetId="0">مطبوعات!$B$2:$T$28</definedName>
    <definedName name="Prints_Kinds">OFFSET(Data!$B$3,0,0,COUNTA(Data!$B:$B)-1,1)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5" i="12" l="1"/>
  <c r="H6" i="12"/>
  <c r="H7" i="12"/>
  <c r="H8" i="12"/>
  <c r="H9" i="12"/>
  <c r="H10" i="12"/>
  <c r="H11" i="12"/>
  <c r="H12" i="12"/>
  <c r="H13" i="12"/>
  <c r="H14" i="12"/>
  <c r="H15" i="12"/>
  <c r="H16" i="12"/>
  <c r="H17" i="12"/>
  <c r="H18" i="12"/>
  <c r="H19" i="12"/>
  <c r="G5" i="12"/>
  <c r="G6" i="12"/>
  <c r="G7" i="12"/>
  <c r="G8" i="12"/>
  <c r="G9" i="12"/>
  <c r="G10" i="12"/>
  <c r="G11" i="12"/>
  <c r="G12" i="12"/>
  <c r="G13" i="12"/>
  <c r="G14" i="12"/>
  <c r="G15" i="12"/>
  <c r="G16" i="12"/>
  <c r="G17" i="12"/>
  <c r="G18" i="12"/>
  <c r="G19" i="12"/>
  <c r="F13" i="12"/>
  <c r="F5" i="12"/>
  <c r="F6" i="12"/>
  <c r="F7" i="12"/>
  <c r="F8" i="12"/>
  <c r="F9" i="12"/>
  <c r="F10" i="12"/>
  <c r="F11" i="12"/>
  <c r="F12" i="12"/>
  <c r="F14" i="12"/>
  <c r="F15" i="12"/>
  <c r="F16" i="12"/>
  <c r="F17" i="12"/>
  <c r="F18" i="12"/>
  <c r="F19" i="12"/>
  <c r="Z5" i="10"/>
  <c r="Z6" i="10"/>
  <c r="Z7" i="10"/>
  <c r="Z8" i="10"/>
  <c r="Z9" i="10"/>
  <c r="Z10" i="10"/>
  <c r="Z11" i="10"/>
  <c r="Z12" i="10"/>
  <c r="Z13" i="10"/>
  <c r="Z14" i="10"/>
  <c r="Z15" i="10"/>
  <c r="Z16" i="10"/>
  <c r="Z17" i="10"/>
  <c r="Z18" i="10"/>
  <c r="Z19" i="10"/>
  <c r="Z20" i="10"/>
  <c r="Z21" i="10"/>
  <c r="Y5" i="10"/>
  <c r="Y6" i="10"/>
  <c r="Y7" i="10"/>
  <c r="Y8" i="10"/>
  <c r="Y9" i="10"/>
  <c r="Y10" i="10"/>
  <c r="Y11" i="10"/>
  <c r="Y12" i="10"/>
  <c r="Y13" i="10"/>
  <c r="Y14" i="10"/>
  <c r="Y15" i="10"/>
  <c r="Y16" i="10"/>
  <c r="Y17" i="10"/>
  <c r="Y18" i="10"/>
  <c r="Y19" i="10"/>
  <c r="Y20" i="10"/>
  <c r="Y21" i="10"/>
  <c r="X5" i="10"/>
  <c r="X6" i="10"/>
  <c r="X7" i="10"/>
  <c r="X8" i="10"/>
  <c r="X9" i="10"/>
  <c r="X10" i="10"/>
  <c r="X11" i="10"/>
  <c r="X12" i="10"/>
  <c r="X13" i="10"/>
  <c r="X14" i="10"/>
  <c r="X15" i="10"/>
  <c r="X16" i="10"/>
  <c r="X17" i="10"/>
  <c r="X18" i="10"/>
  <c r="X19" i="10"/>
  <c r="X20" i="10"/>
  <c r="X21" i="10"/>
  <c r="W5" i="10"/>
  <c r="W6" i="10"/>
  <c r="W7" i="10"/>
  <c r="W8" i="10"/>
  <c r="W9" i="10"/>
  <c r="W10" i="10"/>
  <c r="W11" i="10"/>
  <c r="W12" i="10"/>
  <c r="W13" i="10"/>
  <c r="W14" i="10"/>
  <c r="W15" i="10"/>
  <c r="W16" i="10"/>
  <c r="W17" i="10"/>
  <c r="W18" i="10"/>
  <c r="W19" i="10"/>
  <c r="W20" i="10"/>
  <c r="W21"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P5" i="10"/>
  <c r="N5" i="10"/>
  <c r="O5" i="10"/>
  <c r="Y8" i="9"/>
  <c r="X8" i="9"/>
  <c r="Y8" i="6"/>
  <c r="X8" i="6"/>
  <c r="AH4" i="11" l="1"/>
  <c r="AH5" i="11"/>
  <c r="R18" i="8" s="1"/>
  <c r="AH6" i="11"/>
  <c r="AH7" i="11"/>
  <c r="AH8" i="11"/>
  <c r="AH9" i="11"/>
  <c r="AH10" i="11"/>
  <c r="AH11" i="11"/>
  <c r="AH12" i="11"/>
  <c r="AH13" i="11"/>
  <c r="AH14" i="11"/>
  <c r="AH15" i="11"/>
  <c r="AH16" i="11"/>
  <c r="AH17" i="11"/>
  <c r="AH18" i="11"/>
  <c r="AH19" i="11"/>
  <c r="AG4" i="11"/>
  <c r="AG5" i="11"/>
  <c r="AG6" i="11"/>
  <c r="AG7" i="11"/>
  <c r="AG8" i="11"/>
  <c r="AG9" i="11"/>
  <c r="AG10" i="11"/>
  <c r="AG11" i="11"/>
  <c r="AG12" i="11"/>
  <c r="AG13" i="11"/>
  <c r="AG14" i="11"/>
  <c r="AG15" i="11"/>
  <c r="AG16" i="11"/>
  <c r="AG17" i="11"/>
  <c r="AG18" i="11"/>
  <c r="AG19" i="11"/>
  <c r="AF4" i="11"/>
  <c r="AF5" i="11"/>
  <c r="AF6" i="11"/>
  <c r="AF7" i="11"/>
  <c r="AF8" i="11"/>
  <c r="AF9" i="11"/>
  <c r="AF10" i="11"/>
  <c r="AF11" i="11"/>
  <c r="AF12" i="11"/>
  <c r="AF13" i="11"/>
  <c r="AF14" i="11"/>
  <c r="AF15" i="11"/>
  <c r="AF16" i="11"/>
  <c r="AF17" i="11"/>
  <c r="AF18" i="11"/>
  <c r="AF19" i="11"/>
  <c r="AD4" i="11"/>
  <c r="AD12" i="11"/>
  <c r="AD5" i="11"/>
  <c r="AD6" i="11"/>
  <c r="AD7" i="11"/>
  <c r="AD8" i="11"/>
  <c r="AD9" i="11"/>
  <c r="AD10" i="11"/>
  <c r="AD11" i="11"/>
  <c r="AD13" i="11"/>
  <c r="AD14" i="11"/>
  <c r="AD15" i="11"/>
  <c r="AD16" i="11"/>
  <c r="AD17" i="11"/>
  <c r="AD18" i="11"/>
  <c r="AD19" i="11"/>
  <c r="AC4" i="11"/>
  <c r="AC5" i="11"/>
  <c r="AC6" i="11"/>
  <c r="AC7" i="11"/>
  <c r="AC8" i="11"/>
  <c r="AC9" i="11"/>
  <c r="AC10" i="11"/>
  <c r="AC11" i="11"/>
  <c r="AC12" i="11"/>
  <c r="AC13" i="11"/>
  <c r="AC14" i="11"/>
  <c r="AC15" i="11"/>
  <c r="AC16" i="11"/>
  <c r="AC17" i="11"/>
  <c r="AC18" i="11"/>
  <c r="AC19" i="11"/>
  <c r="AB4" i="11"/>
  <c r="AB5" i="11"/>
  <c r="AB6" i="11"/>
  <c r="AB7" i="11"/>
  <c r="AB8" i="11"/>
  <c r="AB9" i="11"/>
  <c r="AB10" i="11"/>
  <c r="AB11" i="11"/>
  <c r="AB12" i="11"/>
  <c r="AB13" i="11"/>
  <c r="AB14" i="11"/>
  <c r="AB15" i="11"/>
  <c r="AB16" i="11"/>
  <c r="AB17" i="11"/>
  <c r="AB18" i="11"/>
  <c r="AB19" i="11"/>
  <c r="Y9" i="11"/>
  <c r="Y4" i="11"/>
  <c r="Y5" i="11"/>
  <c r="Y6" i="11"/>
  <c r="Y7" i="11"/>
  <c r="Y8" i="11"/>
  <c r="Y10" i="11"/>
  <c r="Y11" i="11"/>
  <c r="Y12" i="11"/>
  <c r="Y13" i="11"/>
  <c r="Y14" i="11"/>
  <c r="Y15" i="11"/>
  <c r="Y16" i="11"/>
  <c r="Y17" i="11"/>
  <c r="Y18" i="11"/>
  <c r="Y19" i="11"/>
  <c r="Z4" i="11"/>
  <c r="Z5" i="11"/>
  <c r="Z6" i="11"/>
  <c r="Z7" i="11"/>
  <c r="Z8" i="11"/>
  <c r="Z9" i="11"/>
  <c r="Z10" i="11"/>
  <c r="Z11" i="11"/>
  <c r="Z12" i="11"/>
  <c r="Z13" i="11"/>
  <c r="Z14" i="11"/>
  <c r="Z15" i="11"/>
  <c r="Z16" i="11"/>
  <c r="Z17" i="11"/>
  <c r="Z18" i="11"/>
  <c r="Z19" i="11"/>
  <c r="V12" i="11"/>
  <c r="W4" i="11"/>
  <c r="W5" i="11"/>
  <c r="W6" i="11"/>
  <c r="W7" i="11"/>
  <c r="W8" i="11"/>
  <c r="W9" i="11"/>
  <c r="W10" i="11"/>
  <c r="W11" i="11"/>
  <c r="W12" i="11"/>
  <c r="W13" i="11"/>
  <c r="W14" i="11"/>
  <c r="W15" i="11"/>
  <c r="W16" i="11"/>
  <c r="W17" i="11"/>
  <c r="W18" i="11"/>
  <c r="W19" i="11"/>
  <c r="V4" i="11"/>
  <c r="V5" i="11"/>
  <c r="V6" i="11"/>
  <c r="V7" i="11"/>
  <c r="V8" i="11"/>
  <c r="V9" i="11"/>
  <c r="V10" i="11"/>
  <c r="V11" i="11"/>
  <c r="V13" i="11"/>
  <c r="V14" i="11"/>
  <c r="V15" i="11"/>
  <c r="V16" i="11"/>
  <c r="V17" i="11"/>
  <c r="V18" i="11"/>
  <c r="V19" i="11"/>
  <c r="T4" i="11"/>
  <c r="T5" i="11"/>
  <c r="T6" i="11"/>
  <c r="T7" i="11"/>
  <c r="T8" i="11"/>
  <c r="T9" i="11"/>
  <c r="T10" i="11"/>
  <c r="T11" i="11"/>
  <c r="T12" i="11"/>
  <c r="T13" i="11"/>
  <c r="T14" i="11"/>
  <c r="T15" i="11"/>
  <c r="T16" i="11"/>
  <c r="T17" i="11"/>
  <c r="T18" i="11"/>
  <c r="T19" i="11"/>
  <c r="S4" i="11"/>
  <c r="S5" i="11"/>
  <c r="S6" i="11"/>
  <c r="S7" i="11"/>
  <c r="S8" i="11"/>
  <c r="S9" i="11"/>
  <c r="S10" i="11"/>
  <c r="S11" i="11"/>
  <c r="S12" i="11"/>
  <c r="S13" i="11"/>
  <c r="S14" i="11"/>
  <c r="S15" i="11"/>
  <c r="S16" i="11"/>
  <c r="S17" i="11"/>
  <c r="S18" i="11"/>
  <c r="S19" i="11"/>
  <c r="K8" i="5"/>
  <c r="J13" i="5"/>
  <c r="J21" i="8" l="1"/>
  <c r="W6" i="5"/>
  <c r="V6" i="5"/>
  <c r="K11" i="1"/>
  <c r="F6" i="6"/>
  <c r="J17" i="5"/>
  <c r="I24" i="17"/>
  <c r="Q23" i="17"/>
  <c r="P23" i="17"/>
  <c r="AA22" i="17"/>
  <c r="Q22" i="17"/>
  <c r="P22" i="17"/>
  <c r="Q21" i="17"/>
  <c r="P21" i="17"/>
  <c r="O20" i="17"/>
  <c r="M20" i="17"/>
  <c r="L20" i="17"/>
  <c r="K20" i="17" s="1"/>
  <c r="S15" i="17"/>
  <c r="P16" i="17" s="1"/>
  <c r="M15" i="17"/>
  <c r="L15" i="17"/>
  <c r="Y13" i="17"/>
  <c r="X13" i="17"/>
  <c r="Q12" i="17"/>
  <c r="F10" i="17"/>
  <c r="B10" i="17"/>
  <c r="J8" i="17"/>
  <c r="W15" i="17" s="1"/>
  <c r="I8" i="17"/>
  <c r="W14" i="17" s="1"/>
  <c r="L6" i="17"/>
  <c r="Z1" i="17"/>
  <c r="N17" i="5"/>
  <c r="G10" i="17" l="1"/>
  <c r="I20" i="17"/>
  <c r="X14" i="17"/>
  <c r="J20" i="17"/>
  <c r="X15" i="17"/>
  <c r="Y14" i="17"/>
  <c r="Y15" i="17"/>
  <c r="G16" i="3"/>
  <c r="G4" i="3"/>
  <c r="G5" i="3"/>
  <c r="G6" i="3"/>
  <c r="G7" i="3"/>
  <c r="G8" i="3"/>
  <c r="G9" i="3"/>
  <c r="S29" i="1" s="1"/>
  <c r="G10" i="3"/>
  <c r="S30" i="1" s="1"/>
  <c r="G11" i="3"/>
  <c r="S31" i="1" s="1"/>
  <c r="G12" i="3"/>
  <c r="S32" i="1" s="1"/>
  <c r="G13" i="3"/>
  <c r="G14" i="3"/>
  <c r="G15" i="3"/>
  <c r="G17" i="3"/>
  <c r="G18" i="3"/>
  <c r="G19" i="3"/>
  <c r="G20" i="3"/>
  <c r="G21" i="3"/>
  <c r="G3" i="3"/>
  <c r="S23" i="1" s="1"/>
  <c r="T21" i="17" s="1"/>
  <c r="W17" i="17" l="1"/>
  <c r="W18" i="17"/>
  <c r="M7" i="3"/>
  <c r="N26" i="3"/>
  <c r="N25" i="3"/>
  <c r="N24" i="3"/>
  <c r="N23" i="3"/>
  <c r="N21" i="3"/>
  <c r="O21" i="3"/>
  <c r="Y18" i="17" l="1"/>
  <c r="J10" i="17" s="1"/>
  <c r="D15" i="17" s="1"/>
  <c r="G20" i="17" s="1"/>
  <c r="N20" i="17" s="1"/>
  <c r="P7" i="17" s="1"/>
  <c r="E15" i="17" l="1"/>
  <c r="F15" i="17" s="1"/>
  <c r="F10" i="7"/>
  <c r="Q23" i="7"/>
  <c r="P23" i="7"/>
  <c r="Q22" i="7"/>
  <c r="P22" i="7"/>
  <c r="Q21" i="7"/>
  <c r="P21" i="7"/>
  <c r="M20" i="7"/>
  <c r="L20" i="7"/>
  <c r="K20" i="7" s="1"/>
  <c r="L15" i="7"/>
  <c r="O20" i="7"/>
  <c r="K17" i="5"/>
  <c r="O27" i="3"/>
  <c r="K21" i="3" s="1"/>
  <c r="J21" i="3" s="1"/>
  <c r="N27" i="3"/>
  <c r="M27" i="3"/>
  <c r="I21" i="3" s="1"/>
  <c r="O26" i="3"/>
  <c r="K20" i="3" s="1"/>
  <c r="J20" i="3" s="1"/>
  <c r="M26" i="3"/>
  <c r="I20" i="3" s="1"/>
  <c r="O25" i="3"/>
  <c r="K19" i="3" s="1"/>
  <c r="J19" i="3" s="1"/>
  <c r="M25" i="3"/>
  <c r="I19" i="3" s="1"/>
  <c r="O24" i="3"/>
  <c r="K18" i="3" s="1"/>
  <c r="J18" i="3" s="1"/>
  <c r="M24" i="3"/>
  <c r="I18" i="3" s="1"/>
  <c r="O23" i="3"/>
  <c r="K17" i="3" s="1"/>
  <c r="J17" i="3" s="1"/>
  <c r="M23" i="3"/>
  <c r="I17" i="3" s="1"/>
  <c r="M22" i="3"/>
  <c r="K15" i="3"/>
  <c r="J15" i="3" s="1"/>
  <c r="M20" i="3"/>
  <c r="O19" i="3"/>
  <c r="K13" i="3" s="1"/>
  <c r="M13" i="3"/>
  <c r="I5" i="3"/>
  <c r="M5" i="3"/>
  <c r="V15" i="3"/>
  <c r="S28" i="1"/>
  <c r="S27" i="1"/>
  <c r="S26" i="1"/>
  <c r="S25" i="1"/>
  <c r="S24" i="1"/>
  <c r="T21" i="7"/>
  <c r="O20" i="3"/>
  <c r="K14" i="3" s="1"/>
  <c r="K17" i="8"/>
  <c r="J17" i="8"/>
  <c r="F8" i="8"/>
  <c r="G8" i="8" s="1"/>
  <c r="T8" i="5"/>
  <c r="G21" i="8"/>
  <c r="O12" i="9"/>
  <c r="E6" i="9" s="1"/>
  <c r="B6" i="9"/>
  <c r="K6" i="6"/>
  <c r="E6" i="6"/>
  <c r="B6" i="6"/>
  <c r="L17" i="1"/>
  <c r="L13" i="1" s="1"/>
  <c r="K17" i="1"/>
  <c r="G17" i="1"/>
  <c r="F17" i="1"/>
  <c r="E17" i="1"/>
  <c r="D17" i="1"/>
  <c r="O11" i="1"/>
  <c r="G11" i="1"/>
  <c r="F11" i="1"/>
  <c r="E11" i="1"/>
  <c r="D11" i="1"/>
  <c r="F1" i="1"/>
  <c r="H1" i="1"/>
  <c r="K20" i="8"/>
  <c r="B4" i="8"/>
  <c r="G21" i="5"/>
  <c r="U24" i="9"/>
  <c r="U23" i="9"/>
  <c r="W10" i="9"/>
  <c r="W9" i="9"/>
  <c r="V9" i="9"/>
  <c r="K6" i="9"/>
  <c r="J13" i="8"/>
  <c r="U8" i="8" s="1"/>
  <c r="C13" i="8"/>
  <c r="B13" i="8"/>
  <c r="D11" i="8"/>
  <c r="V8" i="8"/>
  <c r="K8" i="8"/>
  <c r="V7" i="8"/>
  <c r="X6" i="8"/>
  <c r="W6" i="8"/>
  <c r="I4" i="8"/>
  <c r="Y3" i="8"/>
  <c r="U24" i="6"/>
  <c r="U23" i="6"/>
  <c r="W10" i="6"/>
  <c r="W9" i="6"/>
  <c r="V9" i="6"/>
  <c r="I24" i="7"/>
  <c r="N20" i="3" s="1"/>
  <c r="AA22" i="7"/>
  <c r="S15" i="7"/>
  <c r="P16" i="7" s="1"/>
  <c r="Y13" i="7"/>
  <c r="X13" i="7"/>
  <c r="Q12" i="7"/>
  <c r="B10" i="7"/>
  <c r="J8" i="7"/>
  <c r="W15" i="7" s="1"/>
  <c r="I8" i="7"/>
  <c r="W14" i="7" s="1"/>
  <c r="L6" i="7"/>
  <c r="Z1" i="7"/>
  <c r="C13" i="5"/>
  <c r="B13" i="5"/>
  <c r="K13" i="5" s="1"/>
  <c r="B8" i="5"/>
  <c r="F4" i="5"/>
  <c r="E4" i="5"/>
  <c r="L21" i="5"/>
  <c r="B4" i="5"/>
  <c r="I4" i="5"/>
  <c r="U8" i="5"/>
  <c r="U7" i="5"/>
  <c r="M15" i="7"/>
  <c r="O7" i="3" s="1"/>
  <c r="K5" i="3" s="1"/>
  <c r="B1" i="1"/>
  <c r="N17" i="8"/>
  <c r="J19" i="6"/>
  <c r="J19" i="9"/>
  <c r="F8" i="5" l="1"/>
  <c r="G8" i="5" s="1"/>
  <c r="K13" i="8"/>
  <c r="G10" i="7"/>
  <c r="O18" i="3"/>
  <c r="K12" i="3" s="1"/>
  <c r="I12" i="3" s="1"/>
  <c r="T23" i="7"/>
  <c r="T23" i="17"/>
  <c r="T22" i="7"/>
  <c r="T22" i="17"/>
  <c r="W8" i="8"/>
  <c r="Y15" i="7"/>
  <c r="X10" i="9"/>
  <c r="Y14" i="7"/>
  <c r="J20" i="7"/>
  <c r="I3" i="3"/>
  <c r="E4" i="8"/>
  <c r="J14" i="3"/>
  <c r="V7" i="5"/>
  <c r="T13" i="5"/>
  <c r="X8" i="8"/>
  <c r="W7" i="5"/>
  <c r="S13" i="1"/>
  <c r="M18" i="3"/>
  <c r="Y10" i="6"/>
  <c r="Y9" i="6"/>
  <c r="P13" i="1"/>
  <c r="Y10" i="9"/>
  <c r="I14" i="3"/>
  <c r="I20" i="7"/>
  <c r="W8" i="5"/>
  <c r="X9" i="9"/>
  <c r="I8" i="3"/>
  <c r="I15" i="3"/>
  <c r="X10" i="6"/>
  <c r="V8" i="5"/>
  <c r="N11" i="3"/>
  <c r="J7" i="3" s="1"/>
  <c r="X7" i="8"/>
  <c r="W7" i="8"/>
  <c r="X14" i="7"/>
  <c r="X15" i="7"/>
  <c r="U13" i="8"/>
  <c r="Y9" i="9"/>
  <c r="J13" i="3"/>
  <c r="I13" i="3"/>
  <c r="X9" i="6"/>
  <c r="M11" i="3" l="1"/>
  <c r="I7" i="3" s="1"/>
  <c r="O11" i="3"/>
  <c r="K7" i="3" s="1"/>
  <c r="J12" i="3"/>
  <c r="W17" i="7"/>
  <c r="W18" i="7"/>
  <c r="X11" i="8"/>
  <c r="J8" i="8" s="1"/>
  <c r="Y13" i="9"/>
  <c r="N6" i="9" s="1"/>
  <c r="W11" i="5"/>
  <c r="J8" i="5" s="1"/>
  <c r="Y13" i="6"/>
  <c r="N6" i="6" s="1"/>
  <c r="Y18" i="7" l="1"/>
  <c r="J10" i="7" s="1"/>
  <c r="D15" i="7" s="1"/>
  <c r="G20" i="7" s="1"/>
  <c r="N20" i="7" s="1"/>
  <c r="O15" i="3" s="1"/>
  <c r="D13" i="8"/>
  <c r="Z3" i="8"/>
  <c r="D13" i="5"/>
  <c r="E13" i="5" s="1"/>
  <c r="T10" i="5" s="1"/>
  <c r="U21" i="9"/>
  <c r="C13" i="9" s="1"/>
  <c r="V23" i="9" s="1"/>
  <c r="U21" i="6"/>
  <c r="C13" i="6" s="1"/>
  <c r="V23" i="6" s="1"/>
  <c r="J21" i="5" l="1"/>
  <c r="O22" i="3" s="1"/>
  <c r="K16" i="3" s="1"/>
  <c r="I16" i="3" s="1"/>
  <c r="E15" i="7"/>
  <c r="F15" i="7" s="1"/>
  <c r="N7" i="3" s="1"/>
  <c r="J5" i="3" s="1"/>
  <c r="P7" i="7"/>
  <c r="Y7" i="8"/>
  <c r="G17" i="8" s="1"/>
  <c r="C21" i="8" s="1"/>
  <c r="E13" i="8"/>
  <c r="F13" i="8" s="1"/>
  <c r="F13" i="5"/>
  <c r="L13" i="5" s="1"/>
  <c r="T9" i="5"/>
  <c r="W21" i="5"/>
  <c r="G17" i="5" s="1"/>
  <c r="R5" i="10"/>
  <c r="B13" i="9"/>
  <c r="M12" i="9" s="1"/>
  <c r="Q5" i="10"/>
  <c r="B13" i="6"/>
  <c r="K10" i="3"/>
  <c r="N15" i="3"/>
  <c r="J10" i="3" s="1"/>
  <c r="M15" i="3"/>
  <c r="I10" i="3" s="1"/>
  <c r="J16" i="3" l="1"/>
  <c r="N9" i="3"/>
  <c r="J6" i="3" s="1"/>
  <c r="M12" i="6"/>
  <c r="N5" i="3"/>
  <c r="U9" i="8"/>
  <c r="U10" i="8"/>
  <c r="N6" i="3"/>
  <c r="L13" i="8"/>
  <c r="L17" i="8"/>
  <c r="O14" i="3" s="1"/>
  <c r="M14" i="3" s="1"/>
  <c r="N14" i="3"/>
  <c r="C21" i="5"/>
  <c r="M17" i="3" s="1"/>
  <c r="L17" i="5"/>
  <c r="O13" i="3" s="1"/>
  <c r="E18" i="9"/>
  <c r="L12" i="9" s="1"/>
  <c r="U16" i="9"/>
  <c r="U16" i="6"/>
  <c r="E18" i="6"/>
  <c r="L12" i="6" s="1"/>
  <c r="O5" i="3"/>
  <c r="O12" i="8" l="1"/>
  <c r="K9" i="3"/>
  <c r="I9" i="3"/>
  <c r="J9" i="3"/>
  <c r="O6" i="3"/>
  <c r="M6" i="3" s="1"/>
  <c r="J3" i="3" s="1"/>
  <c r="O17" i="3"/>
  <c r="K11" i="3" s="1"/>
  <c r="I11" i="3" s="1"/>
  <c r="O12" i="5"/>
  <c r="O8" i="5" s="1"/>
  <c r="N17" i="3"/>
  <c r="N13" i="3"/>
  <c r="J8" i="3" s="1"/>
  <c r="K8" i="3"/>
  <c r="H17" i="1"/>
  <c r="J17" i="1" s="1"/>
  <c r="H11" i="1"/>
  <c r="O8" i="8" l="1"/>
  <c r="K3" i="3"/>
  <c r="K4" i="3"/>
  <c r="J4" i="3" s="1"/>
  <c r="I4" i="3"/>
  <c r="J11" i="3"/>
  <c r="M11" i="1"/>
  <c r="P11" i="1"/>
  <c r="J11" i="1"/>
  <c r="N24" i="10" l="1"/>
  <c r="N71" i="10"/>
  <c r="N39" i="10"/>
  <c r="N89" i="10"/>
  <c r="N102" i="10"/>
  <c r="N44" i="10"/>
  <c r="N77" i="10"/>
  <c r="O103" i="10"/>
  <c r="O108" i="10"/>
  <c r="O92" i="10"/>
  <c r="N65" i="10"/>
  <c r="O55" i="10"/>
  <c r="N52" i="10"/>
  <c r="N20" i="10"/>
  <c r="N53" i="10"/>
  <c r="N42" i="10"/>
  <c r="O68" i="10"/>
  <c r="O36" i="10"/>
  <c r="O20" i="10"/>
  <c r="O89" i="10"/>
  <c r="O73" i="10"/>
  <c r="O41" i="10"/>
  <c r="O25" i="10"/>
  <c r="O90" i="10"/>
  <c r="O74" i="10"/>
  <c r="N98" i="10"/>
  <c r="O42" i="10"/>
  <c r="O91" i="10"/>
  <c r="N18" i="10"/>
  <c r="N100" i="10"/>
  <c r="N91" i="10"/>
  <c r="N27" i="10"/>
  <c r="O96" i="10"/>
  <c r="N92" i="10"/>
  <c r="N37" i="10"/>
  <c r="N12" i="10"/>
  <c r="N9" i="10"/>
  <c r="N97" i="10"/>
  <c r="N25" i="10"/>
  <c r="N85" i="10"/>
  <c r="N21" i="10"/>
  <c r="O52" i="10"/>
  <c r="O105" i="10"/>
  <c r="O57" i="10"/>
  <c r="O106" i="10"/>
  <c r="O58" i="10"/>
  <c r="O10" i="10"/>
  <c r="N30" i="10"/>
  <c r="N32" i="10"/>
  <c r="N59" i="10"/>
  <c r="O72" i="10"/>
  <c r="N96" i="10"/>
  <c r="N56" i="10"/>
  <c r="N103" i="10"/>
  <c r="N87" i="10"/>
  <c r="N55" i="10"/>
  <c r="N23" i="10"/>
  <c r="N7" i="10"/>
  <c r="N57" i="10"/>
  <c r="N108" i="10"/>
  <c r="N76" i="10"/>
  <c r="O16" i="10"/>
  <c r="O69" i="10"/>
  <c r="O102" i="10"/>
  <c r="N82" i="10"/>
  <c r="N10" i="10"/>
  <c r="O47" i="10"/>
  <c r="N54" i="10"/>
  <c r="N38" i="10"/>
  <c r="O38" i="10"/>
  <c r="O21" i="10"/>
  <c r="O75" i="10"/>
  <c r="O79" i="10"/>
  <c r="N48" i="10"/>
  <c r="N88" i="10"/>
  <c r="N40" i="10"/>
  <c r="N34" i="10"/>
  <c r="N95" i="10"/>
  <c r="N79" i="10"/>
  <c r="N63" i="10"/>
  <c r="N47" i="10"/>
  <c r="N31" i="10"/>
  <c r="N15" i="10"/>
  <c r="N105" i="10"/>
  <c r="N73" i="10"/>
  <c r="O87" i="10"/>
  <c r="N13" i="10"/>
  <c r="N60" i="10"/>
  <c r="N28" i="10"/>
  <c r="N93" i="10"/>
  <c r="N61" i="10"/>
  <c r="N45" i="10"/>
  <c r="N86" i="10"/>
  <c r="O100" i="10"/>
  <c r="O84" i="10"/>
  <c r="N81" i="10"/>
  <c r="N49" i="10"/>
  <c r="N29" i="10"/>
  <c r="N68" i="10"/>
  <c r="N36" i="10"/>
  <c r="N101" i="10"/>
  <c r="N69" i="10"/>
  <c r="O71" i="10"/>
  <c r="N41" i="10"/>
  <c r="O76" i="10"/>
  <c r="O60" i="10"/>
  <c r="O44" i="10"/>
  <c r="O28" i="10"/>
  <c r="O12" i="10"/>
  <c r="O97" i="10"/>
  <c r="O81" i="10"/>
  <c r="O65" i="10"/>
  <c r="O49" i="10"/>
  <c r="O33" i="10"/>
  <c r="O17" i="10"/>
  <c r="O98" i="10"/>
  <c r="O82" i="10"/>
  <c r="O66" i="10"/>
  <c r="O50" i="10"/>
  <c r="N66" i="10"/>
  <c r="O26" i="10"/>
  <c r="N33" i="10"/>
  <c r="O59" i="10"/>
  <c r="O6" i="10"/>
  <c r="N72" i="10"/>
  <c r="N64" i="10"/>
  <c r="N107" i="10"/>
  <c r="N75" i="10"/>
  <c r="N43" i="10"/>
  <c r="N11" i="10"/>
  <c r="O80" i="10"/>
  <c r="O48" i="10"/>
  <c r="O101" i="10"/>
  <c r="O37" i="10"/>
  <c r="O70" i="10"/>
  <c r="N17" i="10"/>
  <c r="N94" i="10"/>
  <c r="O99" i="10"/>
  <c r="O15" i="10"/>
  <c r="N106" i="10"/>
  <c r="O67" i="10"/>
  <c r="O85" i="10"/>
  <c r="O54" i="10"/>
  <c r="N78" i="10"/>
  <c r="O83" i="10"/>
  <c r="N67" i="10"/>
  <c r="O24" i="10"/>
  <c r="O104" i="10"/>
  <c r="O93" i="10"/>
  <c r="O62" i="10"/>
  <c r="O27" i="10"/>
  <c r="N8" i="10"/>
  <c r="O22" i="10"/>
  <c r="O51" i="10"/>
  <c r="O40" i="10"/>
  <c r="O8" i="10"/>
  <c r="O77" i="10"/>
  <c r="O45" i="10"/>
  <c r="O13" i="10"/>
  <c r="O78" i="10"/>
  <c r="O46" i="10"/>
  <c r="O18" i="10"/>
  <c r="N26" i="10"/>
  <c r="N62" i="10"/>
  <c r="O30" i="10"/>
  <c r="O11" i="10"/>
  <c r="O35" i="10"/>
  <c r="O31" i="10"/>
  <c r="N6" i="10"/>
  <c r="N74" i="10"/>
  <c r="O95" i="10"/>
  <c r="O19" i="10"/>
  <c r="O56" i="10"/>
  <c r="O53" i="10"/>
  <c r="O86" i="10"/>
  <c r="O34" i="10"/>
  <c r="N46" i="10"/>
  <c r="O14" i="10"/>
  <c r="O9" i="10"/>
  <c r="N80" i="10"/>
  <c r="N99" i="10"/>
  <c r="N35" i="10"/>
  <c r="O32" i="10"/>
  <c r="O29" i="10"/>
  <c r="O107" i="10"/>
  <c r="N70" i="10"/>
  <c r="N22" i="10"/>
  <c r="O63" i="10"/>
  <c r="P11" i="10"/>
  <c r="R11" i="10" s="1"/>
  <c r="P68" i="10"/>
  <c r="R68" i="10" s="1"/>
  <c r="P74" i="10"/>
  <c r="Q74" i="10" s="1"/>
  <c r="P7" i="10"/>
  <c r="Q7" i="10" s="1"/>
  <c r="P108" i="10"/>
  <c r="R108" i="10" s="1"/>
  <c r="P92" i="10"/>
  <c r="Q92" i="10" s="1"/>
  <c r="P63" i="10"/>
  <c r="Q63" i="10" s="1"/>
  <c r="P102" i="10"/>
  <c r="Q102" i="10" s="1"/>
  <c r="P28" i="10"/>
  <c r="Q28" i="10" s="1"/>
  <c r="P22" i="10"/>
  <c r="Q22" i="10" s="1"/>
  <c r="P90" i="10"/>
  <c r="R90" i="10" s="1"/>
  <c r="P20" i="10"/>
  <c r="Q20" i="10" s="1"/>
  <c r="P50" i="10"/>
  <c r="Q50" i="10" s="1"/>
  <c r="P25" i="10"/>
  <c r="Q25" i="10" s="1"/>
  <c r="P30" i="10"/>
  <c r="R30" i="10" s="1"/>
  <c r="P23" i="10"/>
  <c r="Q23" i="10" s="1"/>
  <c r="P31" i="10"/>
  <c r="Q31" i="10" s="1"/>
  <c r="P99" i="10"/>
  <c r="Q99" i="10" s="1"/>
  <c r="P54" i="10"/>
  <c r="R54" i="10" s="1"/>
  <c r="P13" i="10"/>
  <c r="R13" i="10" s="1"/>
  <c r="P66" i="10"/>
  <c r="R66" i="10" s="1"/>
  <c r="P106" i="10"/>
  <c r="R106" i="10" s="1"/>
  <c r="P46" i="10"/>
  <c r="Q46" i="10" s="1"/>
  <c r="P76" i="10"/>
  <c r="R76" i="10" s="1"/>
  <c r="P101" i="10"/>
  <c r="R101" i="10" s="1"/>
  <c r="P16" i="10"/>
  <c r="R16" i="10" s="1"/>
  <c r="P47" i="10"/>
  <c r="Q47" i="10" s="1"/>
  <c r="O61" i="10"/>
  <c r="N90" i="10"/>
  <c r="N104" i="10"/>
  <c r="N83" i="10"/>
  <c r="N19" i="10"/>
  <c r="O64" i="10"/>
  <c r="N50" i="10"/>
  <c r="O39" i="10"/>
  <c r="O7" i="10"/>
  <c r="P77" i="10"/>
  <c r="Q77" i="10" s="1"/>
  <c r="P24" i="10"/>
  <c r="Q24" i="10" s="1"/>
  <c r="P29" i="10"/>
  <c r="R29" i="10" s="1"/>
  <c r="P82" i="10"/>
  <c r="Q82" i="10" s="1"/>
  <c r="P62" i="10"/>
  <c r="Q62" i="10" s="1"/>
  <c r="P6" i="10"/>
  <c r="Q6" i="10" s="1"/>
  <c r="P48" i="10"/>
  <c r="R48" i="10" s="1"/>
  <c r="P9" i="10"/>
  <c r="Q9" i="10" s="1"/>
  <c r="P42" i="10"/>
  <c r="Q42" i="10" s="1"/>
  <c r="P71" i="10"/>
  <c r="Q71" i="10" s="1"/>
  <c r="P69" i="10"/>
  <c r="R69" i="10" s="1"/>
  <c r="P27" i="10"/>
  <c r="Q27" i="10" s="1"/>
  <c r="P41" i="10"/>
  <c r="Q41" i="10" s="1"/>
  <c r="P80" i="10"/>
  <c r="Q80" i="10" s="1"/>
  <c r="P103" i="10"/>
  <c r="R103" i="10" s="1"/>
  <c r="P65" i="10"/>
  <c r="Q65" i="10" s="1"/>
  <c r="P57" i="10"/>
  <c r="Q57" i="10" s="1"/>
  <c r="P32" i="10"/>
  <c r="Q32" i="10" s="1"/>
  <c r="P35" i="10"/>
  <c r="R35" i="10" s="1"/>
  <c r="P8" i="10"/>
  <c r="R8" i="10" s="1"/>
  <c r="P56" i="10"/>
  <c r="R56" i="10" s="1"/>
  <c r="P89" i="10"/>
  <c r="R89" i="10" s="1"/>
  <c r="P97" i="10"/>
  <c r="Q97" i="10" s="1"/>
  <c r="P84" i="10"/>
  <c r="R84" i="10" s="1"/>
  <c r="P51" i="10"/>
  <c r="R51" i="10" s="1"/>
  <c r="P49" i="10"/>
  <c r="R49" i="10" s="1"/>
  <c r="P93" i="10"/>
  <c r="Q93" i="10" s="1"/>
  <c r="P53" i="10"/>
  <c r="Q53" i="10" s="1"/>
  <c r="P83" i="10"/>
  <c r="Q83" i="10" s="1"/>
  <c r="P58" i="10"/>
  <c r="Q58" i="10" s="1"/>
  <c r="P39" i="10"/>
  <c r="R39" i="10" s="1"/>
  <c r="P95" i="10"/>
  <c r="Q95" i="10" s="1"/>
  <c r="P81" i="10"/>
  <c r="Q81" i="10" s="1"/>
  <c r="P37" i="10"/>
  <c r="Q37" i="10" s="1"/>
  <c r="P55" i="10"/>
  <c r="R55" i="10" s="1"/>
  <c r="P26" i="10"/>
  <c r="Q26" i="10" s="1"/>
  <c r="P59" i="10"/>
  <c r="Q59" i="10" s="1"/>
  <c r="P64" i="10"/>
  <c r="Q64" i="10" s="1"/>
  <c r="P72" i="10"/>
  <c r="R72" i="10" s="1"/>
  <c r="P70" i="10"/>
  <c r="Q70" i="10" s="1"/>
  <c r="P75" i="10"/>
  <c r="Q75" i="10" s="1"/>
  <c r="P43" i="10"/>
  <c r="Q43" i="10" s="1"/>
  <c r="P96" i="10"/>
  <c r="R96" i="10" s="1"/>
  <c r="P88" i="10"/>
  <c r="R88" i="10" s="1"/>
  <c r="P36" i="10"/>
  <c r="R36" i="10" s="1"/>
  <c r="P21" i="10"/>
  <c r="R21" i="10" s="1"/>
  <c r="P87" i="10"/>
  <c r="Q87" i="10" s="1"/>
  <c r="P52" i="10"/>
  <c r="R52" i="10" s="1"/>
  <c r="P45" i="10"/>
  <c r="R45" i="10" s="1"/>
  <c r="P100" i="10"/>
  <c r="R100" i="10" s="1"/>
  <c r="P79" i="10"/>
  <c r="Q79" i="10" s="1"/>
  <c r="P91" i="10"/>
  <c r="R91" i="10" s="1"/>
  <c r="P94" i="10"/>
  <c r="R94" i="10" s="1"/>
  <c r="P33" i="10"/>
  <c r="R33" i="10" s="1"/>
  <c r="P40" i="10"/>
  <c r="Q40" i="10" s="1"/>
  <c r="P19" i="10"/>
  <c r="R19" i="10" s="1"/>
  <c r="P104" i="10"/>
  <c r="Q104" i="10" s="1"/>
  <c r="P107" i="10"/>
  <c r="Q107" i="10" s="1"/>
  <c r="P61" i="10"/>
  <c r="R61" i="10" s="1"/>
  <c r="P60" i="10"/>
  <c r="Q60" i="10" s="1"/>
  <c r="P85" i="10"/>
  <c r="Q85" i="10" s="1"/>
  <c r="P67" i="10"/>
  <c r="Q67" i="10" s="1"/>
  <c r="P73" i="10"/>
  <c r="R73" i="10" s="1"/>
  <c r="P98" i="10"/>
  <c r="Q98" i="10" s="1"/>
  <c r="P38" i="10"/>
  <c r="Q38" i="10" s="1"/>
  <c r="P78" i="10"/>
  <c r="Q78" i="10" s="1"/>
  <c r="P34" i="10"/>
  <c r="R34" i="10" s="1"/>
  <c r="P18" i="10"/>
  <c r="R18" i="10" s="1"/>
  <c r="P12" i="10"/>
  <c r="R12" i="10" s="1"/>
  <c r="N84" i="10"/>
  <c r="O23" i="10"/>
  <c r="O43" i="10"/>
  <c r="P105" i="10"/>
  <c r="R105" i="10" s="1"/>
  <c r="P17" i="10"/>
  <c r="R17" i="10" s="1"/>
  <c r="P14" i="10"/>
  <c r="Q14" i="10" s="1"/>
  <c r="P15" i="10"/>
  <c r="R15" i="10" s="1"/>
  <c r="P10" i="10"/>
  <c r="R10" i="10" s="1"/>
  <c r="P86" i="10"/>
  <c r="R86" i="10" s="1"/>
  <c r="P44" i="10"/>
  <c r="Q44" i="10" s="1"/>
  <c r="N16" i="10"/>
  <c r="N51" i="10"/>
  <c r="O88" i="10"/>
  <c r="O94" i="10"/>
  <c r="N14" i="10"/>
  <c r="N58" i="10"/>
  <c r="Q15" i="10" l="1"/>
  <c r="R107" i="10"/>
  <c r="R37" i="10"/>
  <c r="Q86" i="10"/>
  <c r="Q49" i="10"/>
  <c r="R98" i="10"/>
  <c r="Q100" i="10"/>
  <c r="R78" i="10"/>
  <c r="R43" i="10"/>
  <c r="Q17" i="10"/>
  <c r="R67" i="10"/>
  <c r="Q33" i="10"/>
  <c r="Q21" i="10"/>
  <c r="R64" i="10"/>
  <c r="R58" i="10"/>
  <c r="Q19" i="10"/>
  <c r="Q52" i="10"/>
  <c r="R70" i="10"/>
  <c r="R95" i="10"/>
  <c r="Q84" i="10"/>
  <c r="Q18" i="10"/>
  <c r="R60" i="10"/>
  <c r="Q91" i="10"/>
  <c r="Q88" i="10"/>
  <c r="R26" i="10"/>
  <c r="R53" i="10"/>
  <c r="Q89" i="10"/>
  <c r="Q8" i="10"/>
  <c r="R32" i="10"/>
  <c r="R65" i="10"/>
  <c r="R80" i="10"/>
  <c r="R27" i="10"/>
  <c r="R71" i="10"/>
  <c r="R9" i="10"/>
  <c r="R6" i="10"/>
  <c r="R82" i="10"/>
  <c r="R24" i="10"/>
  <c r="Q16" i="10"/>
  <c r="Q76" i="10"/>
  <c r="Q106" i="10"/>
  <c r="Q13" i="10"/>
  <c r="R99" i="10"/>
  <c r="R23" i="10"/>
  <c r="R25" i="10"/>
  <c r="R20" i="10"/>
  <c r="R22" i="10"/>
  <c r="R102" i="10"/>
  <c r="R92" i="10"/>
  <c r="R7" i="10"/>
  <c r="Q68" i="10"/>
  <c r="R44" i="10"/>
  <c r="Q10" i="10"/>
  <c r="R14" i="10"/>
  <c r="Q105" i="10"/>
  <c r="Q12" i="10"/>
  <c r="Q34" i="10"/>
  <c r="R38" i="10"/>
  <c r="Q73" i="10"/>
  <c r="R85" i="10"/>
  <c r="Q61" i="10"/>
  <c r="R104" i="10"/>
  <c r="R40" i="10"/>
  <c r="Q94" i="10"/>
  <c r="R79" i="10"/>
  <c r="Q45" i="10"/>
  <c r="R87" i="10"/>
  <c r="Q36" i="10"/>
  <c r="Q96" i="10"/>
  <c r="R75" i="10"/>
  <c r="Q72" i="10"/>
  <c r="R59" i="10"/>
  <c r="Q55" i="10"/>
  <c r="R81" i="10"/>
  <c r="Q39" i="10"/>
  <c r="R83" i="10"/>
  <c r="R93" i="10"/>
  <c r="Q51" i="10"/>
  <c r="R97" i="10"/>
  <c r="Q56" i="10"/>
  <c r="Q35" i="10"/>
  <c r="R57" i="10"/>
  <c r="Q103" i="10"/>
  <c r="R41" i="10"/>
  <c r="Q69" i="10"/>
  <c r="R42" i="10"/>
  <c r="Q48" i="10"/>
  <c r="R62" i="10"/>
  <c r="Q29" i="10"/>
  <c r="R77" i="10"/>
  <c r="R47" i="10"/>
  <c r="Q101" i="10"/>
  <c r="R46" i="10"/>
  <c r="Q66" i="10"/>
  <c r="Q54" i="10"/>
  <c r="R31" i="10"/>
  <c r="Q30" i="10"/>
  <c r="R50" i="10"/>
  <c r="Q90" i="10"/>
  <c r="R28" i="10"/>
  <c r="R63" i="10"/>
  <c r="Q108" i="10"/>
  <c r="R74" i="10"/>
  <c r="Q11" i="10"/>
  <c r="F13" i="9" l="1"/>
  <c r="H13" i="9" s="1"/>
  <c r="G13" i="9"/>
  <c r="F13" i="6"/>
  <c r="H13" i="6" s="1"/>
  <c r="G13" i="6"/>
  <c r="F18" i="6" l="1"/>
  <c r="G18" i="6" a="1"/>
  <c r="G18" i="6" s="1"/>
  <c r="G18" i="9"/>
  <c r="F18" i="9"/>
  <c r="H18" i="6" l="1"/>
  <c r="Q11" i="6" s="1"/>
  <c r="Q6" i="6" s="1"/>
  <c r="R11" i="1" s="1"/>
  <c r="H18" i="9"/>
  <c r="Q11" i="9" s="1"/>
  <c r="Q6" i="9" s="1"/>
  <c r="R17" i="1" s="1"/>
  <c r="O9" i="3"/>
  <c r="M9" i="3" s="1"/>
  <c r="I6" i="3" s="1"/>
  <c r="S11" i="1"/>
  <c r="S17" i="1" l="1"/>
  <c r="H25" i="1" s="1"/>
  <c r="K6" i="3"/>
  <c r="E22" i="1"/>
  <c r="D26" i="1"/>
  <c r="F26" i="1" l="1"/>
  <c r="K26" i="1"/>
  <c r="J26"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62F88A-D04C-4CD0-9408-77B938C8047E}" keepAlive="1" name="Query - Data" description="Connection to the 'Data' query in the workbook." type="5" refreshedVersion="7" background="1" saveData="1">
    <dbPr connection="Provider=Microsoft.Mashup.OleDb.1;Data Source=$Workbook$;Location=Data;Extended Properties=&quot;&quot;" command="SELECT * FROM [Data]"/>
  </connection>
  <connection id="2" xr16:uid="{00000000-0015-0000-FFFF-FFFF00000000}" keepAlive="1" name="Query - Papers" description="Connection to the 'Papers' query in the workbook." type="5" refreshedVersion="7" background="1" saveData="1">
    <dbPr connection="Provider=Microsoft.Mashup.OleDb.1;Data Source=$Workbook$;Location=Papers;Extended Properties=&quot;&quot;" command="SELECT * FROM [Papers]"/>
  </connection>
  <connection id="3" xr16:uid="{00000000-0015-0000-FFFF-FFFF02000000}" keepAlive="1" name="Query - Papers_Sheet" description="Connection to the 'Papers_Sheet' query in the workbook." type="5" refreshedVersion="7" background="1" saveData="1">
    <dbPr connection="Provider=Microsoft.Mashup.OleDb.1;Data Source=$Workbook$;Location=Papers_Sheet;Extended Properties=&quot;&quot;" command="SELECT * FROM [Papers_Sheet]"/>
  </connection>
  <connection id="4" xr16:uid="{72F9F18F-02FD-49D0-9B0B-DCB187FDCE10}" keepAlive="1" name="Query - المطابع" description="Connection to the 'المطابع' query in the workbook." type="5" refreshedVersion="7" background="1" saveData="1">
    <dbPr connection="Provider=Microsoft.Mashup.OleDb.1;Data Source=$Workbook$;Location=المطابع;Extended Properties=&quot;&quot;" command="SELECT * FROM [المطابع]"/>
  </connection>
  <connection id="5" xr16:uid="{E7882717-814D-4DDB-8C14-3682E89EDFB1}" keepAlive="1" name="Query - خدمات الطباعة" description="Connection to the 'خدمات الطباعة' query in the workbook." type="5" refreshedVersion="7" background="1" saveData="1">
    <dbPr connection="Provider=Microsoft.Mashup.OleDb.1;Data Source=$Workbook$;Location=&quot;خدمات الطباعة&quot;;Extended Properties=&quot;&quot;" command="SELECT * FROM [خدمات الطباعة]"/>
  </connection>
  <connection id="6" xr16:uid="{65828837-5F81-4321-9270-28BD41A92962}" keepAlive="1" name="Query - مكاتب الفصل" description="Connection to the 'مكاتب الفصل' query in the workbook." type="5" refreshedVersion="7" background="1" saveData="1">
    <dbPr connection="Provider=Microsoft.Mashup.OleDb.1;Data Source=$Workbook$;Location=&quot;مكاتب الفصل&quot;;Extended Properties=&quot;&quot;" command="SELECT * FROM [مكاتب الفصل]"/>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<sst xmlns="http://schemas.openxmlformats.org/spreadsheetml/2006/main" count="1290" uniqueCount="335">
  <si>
    <t>رقم العرض</t>
  </si>
  <si>
    <t>بيانـــــات عامــــــة</t>
  </si>
  <si>
    <t>ورقي</t>
  </si>
  <si>
    <t xml:space="preserve"> تصوير</t>
  </si>
  <si>
    <t>فرق سعر</t>
  </si>
  <si>
    <t>المقاس</t>
  </si>
  <si>
    <t>التاريخ</t>
  </si>
  <si>
    <t>اسم العميل</t>
  </si>
  <si>
    <t>الكمية</t>
  </si>
  <si>
    <t>النوع</t>
  </si>
  <si>
    <t>الوصف</t>
  </si>
  <si>
    <t>الإتجاه</t>
  </si>
  <si>
    <t>داخلي؟</t>
  </si>
  <si>
    <t>أنواع المطبوعات</t>
  </si>
  <si>
    <t>فلاير</t>
  </si>
  <si>
    <t>بروشور</t>
  </si>
  <si>
    <t>تفاصيل الطباعة</t>
  </si>
  <si>
    <t>قاعدة البيانات</t>
  </si>
  <si>
    <t>فولدر</t>
  </si>
  <si>
    <t>ليترهيد</t>
  </si>
  <si>
    <t>نوع الطباعة</t>
  </si>
  <si>
    <t>المطبعة</t>
  </si>
  <si>
    <t>عدد الأوجه</t>
  </si>
  <si>
    <t>عدد الألوان</t>
  </si>
  <si>
    <t>ورق الطباعة</t>
  </si>
  <si>
    <t>التغطية</t>
  </si>
  <si>
    <t>ريجة</t>
  </si>
  <si>
    <t>فورمة</t>
  </si>
  <si>
    <t>سبوت UV</t>
  </si>
  <si>
    <t>تكلفة القطعة</t>
  </si>
  <si>
    <t>إجمالي التكلفة</t>
  </si>
  <si>
    <t>بلوك نوت</t>
  </si>
  <si>
    <t>وجه</t>
  </si>
  <si>
    <t>ظهر</t>
  </si>
  <si>
    <t>عدد / نوع الورق</t>
  </si>
  <si>
    <t>المورد</t>
  </si>
  <si>
    <t>كتالوج</t>
  </si>
  <si>
    <t>كروت</t>
  </si>
  <si>
    <t>طول</t>
  </si>
  <si>
    <t>عرض</t>
  </si>
  <si>
    <t>بوستر</t>
  </si>
  <si>
    <t>تفاصيل الداخلي</t>
  </si>
  <si>
    <t>عدد الورق المفرود</t>
  </si>
  <si>
    <t>عدد الورقات</t>
  </si>
  <si>
    <t>عدد الصفحات</t>
  </si>
  <si>
    <t>تقفيل</t>
  </si>
  <si>
    <t>جانب التقفيل</t>
  </si>
  <si>
    <t>عدد الداخلي</t>
  </si>
  <si>
    <t>تصوير</t>
  </si>
  <si>
    <t>ملحوظات</t>
  </si>
  <si>
    <t>الإجمـــــــــــــــــالي</t>
  </si>
  <si>
    <t>تاريخ آخر تحديث</t>
  </si>
  <si>
    <t>مندوب</t>
  </si>
  <si>
    <t>اسم المندوب</t>
  </si>
  <si>
    <t>النسبة</t>
  </si>
  <si>
    <t>المبلغ</t>
  </si>
  <si>
    <t>مبلغ</t>
  </si>
  <si>
    <t>نوع</t>
  </si>
  <si>
    <t>باقي حسابات المطابع</t>
  </si>
  <si>
    <t>اسم المورد</t>
  </si>
  <si>
    <t>البيان</t>
  </si>
  <si>
    <t>المبلغ المتبقي</t>
  </si>
  <si>
    <t>هامش الربح المتوقع</t>
  </si>
  <si>
    <t>إجمالي هامش الربح</t>
  </si>
  <si>
    <t>سعر البيع</t>
  </si>
  <si>
    <t>نسبة</t>
  </si>
  <si>
    <t>القطعة</t>
  </si>
  <si>
    <t>الإجمالي</t>
  </si>
  <si>
    <t>تصــميـــــم</t>
  </si>
  <si>
    <t>أمر تسعير أوفست</t>
  </si>
  <si>
    <t>زنكات موجودة</t>
  </si>
  <si>
    <t>العدد</t>
  </si>
  <si>
    <t>مقاس</t>
  </si>
  <si>
    <t>وجه واحد</t>
  </si>
  <si>
    <t>الأعداد في المقاس</t>
  </si>
  <si>
    <t>CTP</t>
  </si>
  <si>
    <t>عدد الزنكات</t>
  </si>
  <si>
    <t>مقاس الزنك</t>
  </si>
  <si>
    <t>اسم المكتب</t>
  </si>
  <si>
    <t>نقل</t>
  </si>
  <si>
    <t>سعر الزنك</t>
  </si>
  <si>
    <t>التكلفة</t>
  </si>
  <si>
    <t>العدد / المونتاج</t>
  </si>
  <si>
    <t>سعر تكلفة الوحدة</t>
  </si>
  <si>
    <t>سعر اللون المخصوص</t>
  </si>
  <si>
    <t>ربع</t>
  </si>
  <si>
    <t>العالمية</t>
  </si>
  <si>
    <t>عدد</t>
  </si>
  <si>
    <t>في الربع</t>
  </si>
  <si>
    <t>الطبــــــاعـــة</t>
  </si>
  <si>
    <t>العدد في المقاس</t>
  </si>
  <si>
    <t>ألوان الطباعة</t>
  </si>
  <si>
    <t>عدد الربع</t>
  </si>
  <si>
    <t>عدد الطبعات</t>
  </si>
  <si>
    <t>عدد التراجات</t>
  </si>
  <si>
    <t>لون مخصوص</t>
  </si>
  <si>
    <t>بيانات المطبعة</t>
  </si>
  <si>
    <t>الألوان</t>
  </si>
  <si>
    <t>اسم المطبعة</t>
  </si>
  <si>
    <t>نوع الماكينة</t>
  </si>
  <si>
    <t>سعر التراج</t>
  </si>
  <si>
    <t>ثمن</t>
  </si>
  <si>
    <t>الــــــــورق</t>
  </si>
  <si>
    <t>نوع الورق</t>
  </si>
  <si>
    <t>جم</t>
  </si>
  <si>
    <t>بلد المنشأ</t>
  </si>
  <si>
    <t>مخزن الورق</t>
  </si>
  <si>
    <t>نقل ورق</t>
  </si>
  <si>
    <t>سعر الفرخ</t>
  </si>
  <si>
    <t>السعر بتاريخ</t>
  </si>
  <si>
    <t>نص</t>
  </si>
  <si>
    <t>كوشيه</t>
  </si>
  <si>
    <t>فرخ 70*100</t>
  </si>
  <si>
    <t>مكة</t>
  </si>
  <si>
    <t>-</t>
  </si>
  <si>
    <t>فرخ</t>
  </si>
  <si>
    <t>عبد الستار</t>
  </si>
  <si>
    <t>فرق ورق</t>
  </si>
  <si>
    <t>إضافة</t>
  </si>
  <si>
    <t>اسطمبة تكسير</t>
  </si>
  <si>
    <t>نوع التغطية</t>
  </si>
  <si>
    <t>تكسير</t>
  </si>
  <si>
    <t>سبوت يوفي</t>
  </si>
  <si>
    <t>تلزيق لسان</t>
  </si>
  <si>
    <t>عدد الورق</t>
  </si>
  <si>
    <t>خامــــــات</t>
  </si>
  <si>
    <t>أخرى</t>
  </si>
  <si>
    <t>تكلفة الوحدة</t>
  </si>
  <si>
    <t>إندونيسي</t>
  </si>
  <si>
    <t>عرض تكلفة دفاتر</t>
  </si>
  <si>
    <t xml:space="preserve"> ورقي</t>
  </si>
  <si>
    <t>التاريــــخ</t>
  </si>
  <si>
    <t>عدد النسخ</t>
  </si>
  <si>
    <t>طبع</t>
  </si>
  <si>
    <t>مكربن</t>
  </si>
  <si>
    <t>الشيخ جميل</t>
  </si>
  <si>
    <t>في القطع</t>
  </si>
  <si>
    <t>هامش الربح</t>
  </si>
  <si>
    <t>تكلفة بيع الوحدة</t>
  </si>
  <si>
    <t>مقاس القطع</t>
  </si>
  <si>
    <t>مكربن أول</t>
  </si>
  <si>
    <t>مكربن وسط</t>
  </si>
  <si>
    <t>مكربن أخير</t>
  </si>
  <si>
    <t>عدد في الفرخ</t>
  </si>
  <si>
    <t>العدد في الفرخ</t>
  </si>
  <si>
    <r>
      <rPr>
        <b/>
        <sz val="12"/>
        <color indexed="8"/>
        <rFont val="Calibri"/>
        <family val="2"/>
      </rPr>
      <t>سعر الدفتر</t>
    </r>
    <r>
      <rPr>
        <b/>
        <sz val="14"/>
        <color indexed="8"/>
        <rFont val="Calibri"/>
        <family val="2"/>
      </rPr>
      <t xml:space="preserve"> </t>
    </r>
    <r>
      <rPr>
        <sz val="11"/>
        <color theme="1"/>
        <rFont val="Arial"/>
        <family val="2"/>
        <scheme val="minor"/>
      </rPr>
      <t>(في حالة الإختلاف)</t>
    </r>
  </si>
  <si>
    <t>أفرخ هادر</t>
  </si>
  <si>
    <t>تجليد</t>
  </si>
  <si>
    <t>حداشر (20*30)</t>
  </si>
  <si>
    <t>تجليد الوحدة</t>
  </si>
  <si>
    <t>تسعات (23*33)</t>
  </si>
  <si>
    <t>ثمن (25*35)</t>
  </si>
  <si>
    <t>خمسات (30*40)</t>
  </si>
  <si>
    <t>ربع (35*50)</t>
  </si>
  <si>
    <t>نص (50*70)</t>
  </si>
  <si>
    <t>15x10</t>
  </si>
  <si>
    <t>17x8</t>
  </si>
  <si>
    <t>16x11</t>
  </si>
  <si>
    <t>A5 (20x15)</t>
  </si>
  <si>
    <t>23x16</t>
  </si>
  <si>
    <t>A4 (30x20)</t>
  </si>
  <si>
    <t>33x23</t>
  </si>
  <si>
    <t>A3 (40x30)</t>
  </si>
  <si>
    <t>أمر تسعير ديجيتال</t>
  </si>
  <si>
    <t xml:space="preserve"> </t>
  </si>
  <si>
    <t>طباعة هالك زيادة</t>
  </si>
  <si>
    <t>اختيار</t>
  </si>
  <si>
    <t>الطباعة</t>
  </si>
  <si>
    <t>إضافات</t>
  </si>
  <si>
    <t>سعر الطبعة</t>
  </si>
  <si>
    <t>تفاصيل</t>
  </si>
  <si>
    <t>فاست برنت</t>
  </si>
  <si>
    <t>الورق</t>
  </si>
  <si>
    <t>خامات</t>
  </si>
  <si>
    <t>سعر فرق الورق</t>
  </si>
  <si>
    <t>عدد الربع الأصلي</t>
  </si>
  <si>
    <t>هل تم تنفيذ الطباعة مع بنود أخرى؟</t>
  </si>
  <si>
    <t>حساب التكلفة</t>
  </si>
  <si>
    <t>أوفست داخلي</t>
  </si>
  <si>
    <t>زنكات مختلفة</t>
  </si>
  <si>
    <t>عدد الزنكات المختلفة</t>
  </si>
  <si>
    <t>طبعات مختلفة</t>
  </si>
  <si>
    <t>برتغالي</t>
  </si>
  <si>
    <t>تقفيـــــل</t>
  </si>
  <si>
    <t>عدد الورق الداخلي</t>
  </si>
  <si>
    <t>نوع التقفيل</t>
  </si>
  <si>
    <t>ديجيتال داخلي</t>
  </si>
  <si>
    <t>داخلي</t>
  </si>
  <si>
    <t>مطابع الديجيتال</t>
  </si>
  <si>
    <t>الشريحة</t>
  </si>
  <si>
    <t>طبعة من</t>
  </si>
  <si>
    <t>طبعة إلى</t>
  </si>
  <si>
    <t>غير شامل الورق</t>
  </si>
  <si>
    <t>ارت اكسبريس</t>
  </si>
  <si>
    <t>نو تايم</t>
  </si>
  <si>
    <t>ديجيتال لاين</t>
  </si>
  <si>
    <t>مواد التغطية</t>
  </si>
  <si>
    <t>اسطمبة</t>
  </si>
  <si>
    <t>خدمات ديجيتال</t>
  </si>
  <si>
    <t>س. مط وجه</t>
  </si>
  <si>
    <t>س. مط وجهين</t>
  </si>
  <si>
    <t>بدون تلزيق</t>
  </si>
  <si>
    <t>س. لميع وجه</t>
  </si>
  <si>
    <t>س. لميع وجهين</t>
  </si>
  <si>
    <t>تلزيق 2 لسان</t>
  </si>
  <si>
    <t>يوفي</t>
  </si>
  <si>
    <t>تلزيق 3 لسان</t>
  </si>
  <si>
    <t>بصمة</t>
  </si>
  <si>
    <t>2 ريجة</t>
  </si>
  <si>
    <t>كوفراج</t>
  </si>
  <si>
    <t>3 ريجة</t>
  </si>
  <si>
    <t>بصمة كوفراج</t>
  </si>
  <si>
    <t>4 ريجة</t>
  </si>
  <si>
    <t>مكاتب الفصل</t>
  </si>
  <si>
    <t>العمدة</t>
  </si>
  <si>
    <t>فري ستايل</t>
  </si>
  <si>
    <t>بيكسل برنت</t>
  </si>
  <si>
    <t>مطابع الأوفست</t>
  </si>
  <si>
    <t>العراقي</t>
  </si>
  <si>
    <t>هاي جرافيك</t>
  </si>
  <si>
    <t>صيني</t>
  </si>
  <si>
    <t>كمال سعد</t>
  </si>
  <si>
    <t>موسى فرج</t>
  </si>
  <si>
    <t>فرخ جاير 88*66</t>
  </si>
  <si>
    <t>فنلندي</t>
  </si>
  <si>
    <t>ستيكر</t>
  </si>
  <si>
    <t>أوروبي</t>
  </si>
  <si>
    <t>المصري</t>
  </si>
  <si>
    <t>بريستول</t>
  </si>
  <si>
    <t>أسباني</t>
  </si>
  <si>
    <t>حمادة جلال</t>
  </si>
  <si>
    <t>أبو شوشة</t>
  </si>
  <si>
    <t>مخازن الورق</t>
  </si>
  <si>
    <t>ربع (A3+)</t>
  </si>
  <si>
    <t>دفعة 1</t>
  </si>
  <si>
    <t>دفعة 2</t>
  </si>
  <si>
    <t>المطلوب</t>
  </si>
  <si>
    <t>حسابات الموردين</t>
  </si>
  <si>
    <t>مطابع أوفست</t>
  </si>
  <si>
    <t>مطابع ديجيتال</t>
  </si>
  <si>
    <t>مكاتب فصل ألوان</t>
  </si>
  <si>
    <t>مخازن ورق</t>
  </si>
  <si>
    <t>خدمات طباعة</t>
  </si>
  <si>
    <t>مورد ريجة</t>
  </si>
  <si>
    <t>تكسير وتلزيق</t>
  </si>
  <si>
    <t>سلوفان</t>
  </si>
  <si>
    <t>بعد السلوفان</t>
  </si>
  <si>
    <t>وجهين</t>
  </si>
  <si>
    <t>مطبوعات</t>
  </si>
  <si>
    <t>محمد يوسف</t>
  </si>
  <si>
    <t>16/02/2021</t>
  </si>
  <si>
    <t>عرض تكلفة أظرف</t>
  </si>
  <si>
    <t>عدد الباكت</t>
  </si>
  <si>
    <t>ظرف أمريكاني (DL) (11*22 سم)</t>
  </si>
  <si>
    <t>ظرف A5  (B5) (17.6*25 سم)</t>
  </si>
  <si>
    <t>ظرف A5+ (C5) (16.2*22.9 سم)</t>
  </si>
  <si>
    <t>ظرف A4  (B4) (25*35.2 سم)</t>
  </si>
  <si>
    <t>ظرف A4+ (C4) (22.9*32.4 سم)</t>
  </si>
  <si>
    <t>ظرف A3 (C3) (32.4*45.8 سم)</t>
  </si>
  <si>
    <t>150</t>
  </si>
  <si>
    <t>250</t>
  </si>
  <si>
    <t>80</t>
  </si>
  <si>
    <t>صافي مقاس الطباعة</t>
  </si>
  <si>
    <t>G:\My Drive\Work\حسابات\حسابات عملاء</t>
  </si>
  <si>
    <t>محمود غريب</t>
  </si>
  <si>
    <t>ماي برنت</t>
  </si>
  <si>
    <t>تقفيل سلك</t>
  </si>
  <si>
    <t>عدد الحلقات</t>
  </si>
  <si>
    <t>سعر الحلقة</t>
  </si>
  <si>
    <t>حجم الحلقة</t>
  </si>
  <si>
    <t>صغير</t>
  </si>
  <si>
    <t>وسط</t>
  </si>
  <si>
    <t>60</t>
  </si>
  <si>
    <t>70</t>
  </si>
  <si>
    <t>فور برنت</t>
  </si>
  <si>
    <t>تاريخ</t>
  </si>
  <si>
    <t>الشامي</t>
  </si>
  <si>
    <t>أبو ليل</t>
  </si>
  <si>
    <t>بشر 10سم</t>
  </si>
  <si>
    <t>بشر 20سم</t>
  </si>
  <si>
    <t>بشر 30سم</t>
  </si>
  <si>
    <t>دبوس صغير</t>
  </si>
  <si>
    <t>دبوس كبير</t>
  </si>
  <si>
    <t>امارتي</t>
  </si>
  <si>
    <t>كوري</t>
  </si>
  <si>
    <t>240</t>
  </si>
  <si>
    <t>17/06/2023</t>
  </si>
  <si>
    <t>دبوس وسط</t>
  </si>
  <si>
    <t>10</t>
  </si>
  <si>
    <t>40</t>
  </si>
  <si>
    <t>25</t>
  </si>
  <si>
    <t>5</t>
  </si>
  <si>
    <t>6</t>
  </si>
  <si>
    <t>0</t>
  </si>
  <si>
    <t>38</t>
  </si>
  <si>
    <t>75</t>
  </si>
  <si>
    <t>15</t>
  </si>
  <si>
    <t>عم عماد</t>
  </si>
  <si>
    <t>4.50</t>
  </si>
  <si>
    <t>0.35</t>
  </si>
  <si>
    <t>0.45</t>
  </si>
  <si>
    <t>29/10/2023</t>
  </si>
  <si>
    <t>سلك</t>
  </si>
  <si>
    <t>20</t>
  </si>
  <si>
    <t>1.75</t>
  </si>
  <si>
    <t>300</t>
  </si>
  <si>
    <t>كونكورد</t>
  </si>
  <si>
    <t>مراد العامرية</t>
  </si>
  <si>
    <t>هاي كوت</t>
  </si>
  <si>
    <t>100</t>
  </si>
  <si>
    <t>200</t>
  </si>
  <si>
    <t>ياسر دهب</t>
  </si>
  <si>
    <t>8</t>
  </si>
  <si>
    <t>فرخ جاير  88*66</t>
  </si>
  <si>
    <t>21/08/2024</t>
  </si>
  <si>
    <t>16/05/2024</t>
  </si>
  <si>
    <t>دوبلكس ظهر أبيض</t>
  </si>
  <si>
    <t>19/04/2026</t>
  </si>
  <si>
    <t>كرتون 20</t>
  </si>
  <si>
    <t>130</t>
  </si>
  <si>
    <t>220</t>
  </si>
  <si>
    <t>(blank)</t>
  </si>
  <si>
    <t>400</t>
  </si>
  <si>
    <t>120</t>
  </si>
  <si>
    <t>14/10/2024</t>
  </si>
  <si>
    <t>20/10/2024</t>
  </si>
  <si>
    <t>22/10/2024</t>
  </si>
  <si>
    <t>31/10/2024</t>
  </si>
  <si>
    <t>16/12/2024</t>
  </si>
  <si>
    <t>G:\My Drive\Work\حسابات\حسابات عملاء\0. MWHEBA</t>
  </si>
  <si>
    <t xml:space="preserve"> MWHEBA</t>
  </si>
  <si>
    <t>خاص</t>
  </si>
  <si>
    <t>عرضي</t>
  </si>
  <si>
    <t>أوفست</t>
  </si>
  <si>
    <t>طبع وقلب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</si>
</sst>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ج.م.‏&quot;_-;\-* #,##0.00\ &quot;ج.م.‏&quot;_-;_-* &quot;-&quot;??\ &quot;ج.م.‏&quot;_-;_-@_-"/>
    <numFmt numFmtId="164" formatCode="0.0&quot;cm&quot;"/>
    <numFmt numFmtId="165" formatCode="#,##0.00\ &quot;ج.م.‏&quot;"/>
    <numFmt numFmtId="166" formatCode="#,##0.0\ &quot;ج.م.‏&quot;"/>
    <numFmt numFmtId="167" formatCode="0.0%"/>
    <numFmt numFmtId="168" formatCode="#,##0\ &quot;ج.م.‏&quot;"/>
    <numFmt numFmtId="169" formatCode="d/m/yyyy"/>
    <numFmt numFmtId="170" formatCode="#\ \ق\ط\ع\ة\ &quot;/&quot;\ \ا\ل\ف\و\ر\م\ة"/>
    <numFmt numFmtId="171" formatCode="0.0"/>
    <numFmt numFmtId="172" formatCode="\م\ن\ \ر\ق\م\ \1\ \إ\ل\ى\ #"/>
    <numFmt numFmtId="173" formatCode="#\ \و\ر\ق\ة"/>
  </numFmts>
  <fonts count="39" x14ac:knownFonts="1">
    <font>
      <sz val="11"/>
      <color theme="1"/>
      <name val="Arial"/>
      <family val="2"/>
      <scheme val="minor"/>
    </font>
    <font>
      <b/>
      <sz val="14"/>
      <color indexed="8"/>
      <name val="Calibri"/>
      <family val="2"/>
    </font>
    <font>
      <b/>
      <sz val="12"/>
      <color indexed="8"/>
      <name val="Calibri"/>
      <family val="2"/>
    </font>
    <font>
      <sz val="11"/>
      <color theme="1"/>
      <name val="Arial"/>
      <family val="2"/>
      <scheme val="minor"/>
    </font>
    <font>
      <b/>
      <sz val="11"/>
      <color theme="1"/>
      <name val="Arial"/>
      <family val="2"/>
      <scheme val="minor"/>
    </font>
    <font>
      <b/>
      <sz val="13"/>
      <color theme="1"/>
      <name val="Arial"/>
      <family val="2"/>
      <scheme val="minor"/>
    </font>
    <font>
      <b/>
      <sz val="12"/>
      <color rgb="FFFF0000"/>
      <name val="Arial"/>
      <family val="2"/>
      <scheme val="minor"/>
    </font>
    <font>
      <b/>
      <sz val="12"/>
      <color theme="1"/>
      <name val="Arial"/>
      <family val="2"/>
      <scheme val="minor"/>
    </font>
    <font>
      <sz val="11"/>
      <name val="Arial"/>
      <family val="2"/>
      <scheme val="minor"/>
    </font>
    <font>
      <sz val="12"/>
      <color theme="1"/>
      <name val="Arial"/>
      <family val="2"/>
      <scheme val="minor"/>
    </font>
    <font>
      <b/>
      <sz val="14"/>
      <color theme="1"/>
      <name val="Arial"/>
      <family val="2"/>
      <scheme val="minor"/>
    </font>
    <font>
      <sz val="11"/>
      <color theme="9" tint="0.39994506668294322"/>
      <name val="Arial"/>
      <family val="2"/>
      <scheme val="minor"/>
    </font>
    <font>
      <sz val="11"/>
      <color theme="0"/>
      <name val="Arial"/>
      <family val="2"/>
      <scheme val="minor"/>
    </font>
    <font>
      <sz val="14"/>
      <color theme="1"/>
      <name val="Arial"/>
      <family val="2"/>
      <scheme val="minor"/>
    </font>
    <font>
      <sz val="14"/>
      <color theme="1" tint="0.499984740745262"/>
      <name val="Arial"/>
      <family val="2"/>
      <scheme val="minor"/>
    </font>
    <font>
      <sz val="9"/>
      <color theme="1"/>
      <name val="Arial"/>
      <family val="2"/>
      <scheme val="minor"/>
    </font>
    <font>
      <sz val="11"/>
      <color theme="1" tint="0.499984740745262"/>
      <name val="Arial"/>
      <family val="2"/>
      <scheme val="minor"/>
    </font>
    <font>
      <sz val="12"/>
      <color theme="1" tint="0.499984740745262"/>
      <name val="Arial"/>
      <family val="2"/>
      <scheme val="minor"/>
    </font>
    <font>
      <b/>
      <sz val="14"/>
      <color theme="0"/>
      <name val="Arial"/>
      <family val="2"/>
      <scheme val="minor"/>
    </font>
    <font>
      <b/>
      <sz val="11"/>
      <color theme="0"/>
      <name val="Arial"/>
      <family val="2"/>
      <scheme val="minor"/>
    </font>
    <font>
      <sz val="12"/>
      <color theme="0"/>
      <name val="Arial"/>
      <family val="2"/>
      <scheme val="minor"/>
    </font>
    <font>
      <b/>
      <sz val="16"/>
      <name val="Arial"/>
      <family val="2"/>
      <scheme val="minor"/>
    </font>
    <font>
      <b/>
      <sz val="9"/>
      <color theme="1"/>
      <name val="Arial"/>
      <family val="2"/>
      <scheme val="minor"/>
    </font>
    <font>
      <b/>
      <sz val="10"/>
      <name val="Arial"/>
      <family val="2"/>
      <scheme val="minor"/>
    </font>
    <font>
      <b/>
      <sz val="12"/>
      <name val="Arial"/>
      <family val="2"/>
      <scheme val="minor"/>
    </font>
    <font>
      <sz val="10"/>
      <color theme="1"/>
      <name val="Arial"/>
      <family val="2"/>
      <scheme val="minor"/>
    </font>
    <font>
      <sz val="12"/>
      <color theme="0" tint="-0.14999847407452621"/>
      <name val="Arial"/>
      <family val="2"/>
      <scheme val="minor"/>
    </font>
    <font>
      <b/>
      <sz val="13"/>
      <color theme="0" tint="-0.499984740745262"/>
      <name val="Arial"/>
      <family val="2"/>
      <scheme val="minor"/>
    </font>
    <font>
      <b/>
      <sz val="10"/>
      <color theme="1"/>
      <name val="Arial"/>
      <family val="2"/>
      <scheme val="minor"/>
    </font>
    <font>
      <b/>
      <sz val="14"/>
      <color rgb="FFFF0000"/>
      <name val="Arial"/>
      <family val="2"/>
      <scheme val="minor"/>
    </font>
    <font>
      <b/>
      <sz val="18"/>
      <color theme="1"/>
      <name val="Arial"/>
      <family val="2"/>
      <scheme val="minor"/>
    </font>
    <font>
      <b/>
      <sz val="18"/>
      <name val="Arial"/>
      <family val="2"/>
      <scheme val="minor"/>
    </font>
    <font>
      <b/>
      <sz val="14"/>
      <name val="Arial"/>
      <family val="2"/>
      <scheme val="minor"/>
    </font>
    <font>
      <sz val="16"/>
      <color theme="1"/>
      <name val="Arial"/>
      <family val="2"/>
      <scheme val="minor"/>
    </font>
    <font>
      <sz val="8"/>
      <color rgb="FF000000"/>
      <name val="Segoe UI"/>
      <family val="2"/>
    </font>
    <font>
      <sz val="10"/>
      <color rgb="FF000000"/>
      <name val="Calibri"/>
      <family val="2"/>
    </font>
    <font>
      <b/>
      <sz val="11"/>
      <name val="Arial"/>
      <family val="2"/>
      <scheme val="minor"/>
    </font>
    <font>
      <sz val="8"/>
      <name val="Arial"/>
      <family val="2"/>
      <scheme val="minor"/>
    </font>
    <font>
      <b/>
      <sz val="16"/>
      <color theme="1"/>
      <name val="Arial"/>
      <family val="2"/>
      <scheme val="minor"/>
    </font>
  </fonts>
  <fills count="27">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E19E6B"/>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bgColor indexed="64"/>
      </patternFill>
    </fill>
    <fill>
      <patternFill patternType="solid">
        <fgColor theme="1" tint="4.9989318521683403E-2"/>
        <bgColor indexed="64"/>
      </patternFill>
    </fill>
    <fill>
      <patternFill patternType="solid">
        <fgColor rgb="FFBDAAF4"/>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tint="0.14999847407452621"/>
        <bgColor indexed="64"/>
      </patternFill>
    </fill>
    <fill>
      <patternFill patternType="solid">
        <fgColor theme="5" tint="-0.499984740745262"/>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rgb="FFFF9966"/>
        <bgColor indexed="64"/>
      </patternFill>
    </fill>
    <fill>
      <patternFill patternType="solid">
        <fgColor rgb="FFA9EDFF"/>
        <bgColor indexed="64"/>
      </patternFill>
    </fill>
    <fill>
      <patternFill patternType="solid">
        <fgColor rgb="FFABE9FF"/>
        <bgColor indexed="64"/>
      </patternFill>
    </fill>
    <fill>
      <patternFill patternType="solid">
        <fgColor rgb="FFFFAFCA"/>
        <bgColor indexed="64"/>
      </patternFill>
    </fill>
    <fill>
      <patternFill patternType="solid">
        <fgColor rgb="FFFFC000"/>
        <bgColor indexed="64"/>
      </patternFill>
    </fill>
  </fills>
  <borders count="158">
    <border>
      <left/>
      <right/>
      <top/>
      <bottom/>
      <diagonal/>
    </border>
    <border>
      <left style="medium">
        <color indexed="64"/>
      </left>
      <right style="dashed">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dashed">
        <color indexed="64"/>
      </bottom>
      <diagonal/>
    </border>
    <border>
      <left/>
      <right style="thin">
        <color indexed="64"/>
      </right>
      <top style="medium">
        <color indexed="64"/>
      </top>
      <bottom/>
      <diagonal/>
    </border>
    <border>
      <left style="medium">
        <color indexed="64"/>
      </left>
      <right style="thin">
        <color indexed="64"/>
      </right>
      <top style="dashed">
        <color indexed="64"/>
      </top>
      <bottom style="medium">
        <color indexed="64"/>
      </bottom>
      <diagonal/>
    </border>
    <border>
      <left style="thin">
        <color indexed="64"/>
      </left>
      <right style="hair">
        <color indexed="64"/>
      </right>
      <top style="dashed">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hair">
        <color indexed="64"/>
      </right>
      <top style="thin">
        <color indexed="64"/>
      </top>
      <bottom style="dashed">
        <color indexed="64"/>
      </bottom>
      <diagonal/>
    </border>
    <border>
      <left/>
      <right style="thick">
        <color indexed="64"/>
      </right>
      <top/>
      <bottom style="dashed">
        <color indexed="64"/>
      </bottom>
      <diagonal/>
    </border>
    <border>
      <left/>
      <right style="thin">
        <color indexed="64"/>
      </right>
      <top/>
      <bottom style="dashed">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hair">
        <color indexed="64"/>
      </right>
      <top/>
      <bottom style="medium">
        <color indexed="64"/>
      </bottom>
      <diagonal/>
    </border>
    <border>
      <left/>
      <right style="thick">
        <color indexed="64"/>
      </right>
      <top/>
      <bottom style="medium">
        <color indexed="64"/>
      </bottom>
      <diagonal/>
    </border>
    <border>
      <left style="hair">
        <color indexed="64"/>
      </left>
      <right style="thin">
        <color indexed="64"/>
      </right>
      <top style="dashed">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dashed">
        <color indexed="64"/>
      </top>
      <bottom style="medium">
        <color indexed="64"/>
      </bottom>
      <diagonal/>
    </border>
    <border>
      <left/>
      <right style="thin">
        <color indexed="64"/>
      </right>
      <top/>
      <bottom style="medium">
        <color indexed="64"/>
      </bottom>
      <diagonal/>
    </border>
    <border>
      <left/>
      <right style="medium">
        <color indexed="64"/>
      </right>
      <top style="dashed">
        <color indexed="64"/>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style="medium">
        <color indexed="64"/>
      </top>
      <bottom style="dashed">
        <color indexed="64"/>
      </bottom>
      <diagonal/>
    </border>
    <border>
      <left/>
      <right/>
      <top style="medium">
        <color indexed="64"/>
      </top>
      <bottom style="dashed">
        <color indexed="64"/>
      </bottom>
      <diagonal/>
    </border>
    <border>
      <left/>
      <right style="thin">
        <color indexed="64"/>
      </right>
      <top style="medium">
        <color indexed="64"/>
      </top>
      <bottom style="dashed">
        <color indexed="64"/>
      </bottom>
      <diagonal/>
    </border>
    <border>
      <left style="thin">
        <color indexed="64"/>
      </left>
      <right style="medium">
        <color indexed="64"/>
      </right>
      <top/>
      <bottom style="dashed">
        <color indexed="64"/>
      </bottom>
      <diagonal/>
    </border>
    <border>
      <left style="medium">
        <color indexed="64"/>
      </left>
      <right/>
      <top style="medium">
        <color indexed="64"/>
      </top>
      <bottom style="dashed">
        <color indexed="64"/>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dashed">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thin">
        <color indexed="64"/>
      </top>
      <bottom style="dashed">
        <color indexed="64"/>
      </bottom>
      <diagonal/>
    </border>
    <border>
      <left/>
      <right style="medium">
        <color indexed="64"/>
      </right>
      <top/>
      <bottom style="dashed">
        <color indexed="64"/>
      </bottom>
      <diagonal/>
    </border>
    <border>
      <left style="medium">
        <color indexed="64"/>
      </left>
      <right/>
      <top/>
      <bottom style="dashed">
        <color indexed="64"/>
      </bottom>
      <diagonal/>
    </border>
    <border>
      <left style="thin">
        <color indexed="64"/>
      </left>
      <right style="thin">
        <color indexed="64"/>
      </right>
      <top/>
      <bottom style="dashed">
        <color indexed="64"/>
      </bottom>
      <diagonal/>
    </border>
    <border>
      <left style="medium">
        <color indexed="64"/>
      </left>
      <right/>
      <top style="dashed">
        <color indexed="64"/>
      </top>
      <bottom style="medium">
        <color indexed="64"/>
      </bottom>
      <diagonal/>
    </border>
    <border>
      <left style="thin">
        <color indexed="64"/>
      </left>
      <right style="medium">
        <color indexed="64"/>
      </right>
      <top style="medium">
        <color indexed="64"/>
      </top>
      <bottom style="dashed">
        <color indexed="64"/>
      </bottom>
      <diagonal/>
    </border>
    <border>
      <left style="medium">
        <color indexed="64"/>
      </left>
      <right style="medium">
        <color indexed="64"/>
      </right>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dashed">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style="medium">
        <color indexed="64"/>
      </top>
      <bottom style="dashed">
        <color indexed="64"/>
      </bottom>
      <diagonal/>
    </border>
    <border>
      <left style="medium">
        <color indexed="64"/>
      </left>
      <right style="dashed">
        <color indexed="64"/>
      </right>
      <top style="medium">
        <color indexed="64"/>
      </top>
      <bottom style="dashed">
        <color indexed="64"/>
      </bottom>
      <diagonal/>
    </border>
    <border>
      <left/>
      <right style="thick">
        <color indexed="64"/>
      </right>
      <top style="medium">
        <color indexed="64"/>
      </top>
      <bottom style="dashed">
        <color indexed="64"/>
      </bottom>
      <diagonal/>
    </border>
    <border>
      <left style="thin">
        <color indexed="64"/>
      </left>
      <right style="dashed">
        <color indexed="64"/>
      </right>
      <top style="medium">
        <color indexed="64"/>
      </top>
      <bottom style="dashed">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medium">
        <color indexed="64"/>
      </bottom>
      <diagonal/>
    </border>
    <border>
      <left style="thin">
        <color indexed="64"/>
      </left>
      <right style="thin">
        <color indexed="64"/>
      </right>
      <top style="dashed">
        <color indexed="64"/>
      </top>
      <bottom style="hair">
        <color indexed="64"/>
      </bottom>
      <diagonal/>
    </border>
    <border>
      <left/>
      <right style="medium">
        <color indexed="64"/>
      </right>
      <top style="dashed">
        <color indexed="64"/>
      </top>
      <bottom style="hair">
        <color indexed="64"/>
      </bottom>
      <diagonal/>
    </border>
    <border>
      <left style="medium">
        <color indexed="64"/>
      </left>
      <right style="thin">
        <color indexed="64"/>
      </right>
      <top/>
      <bottom style="dashed">
        <color indexed="64"/>
      </bottom>
      <diagonal/>
    </border>
    <border>
      <left/>
      <right/>
      <top/>
      <bottom style="dashed">
        <color indexed="64"/>
      </bottom>
      <diagonal/>
    </border>
    <border>
      <left/>
      <right/>
      <top style="dashed">
        <color indexed="64"/>
      </top>
      <bottom style="medium">
        <color indexed="64"/>
      </bottom>
      <diagonal/>
    </border>
    <border>
      <left style="medium">
        <color indexed="64"/>
      </left>
      <right/>
      <top style="dashed">
        <color indexed="64"/>
      </top>
      <bottom style="hair">
        <color indexed="64"/>
      </bottom>
      <diagonal/>
    </border>
    <border>
      <left style="medium">
        <color indexed="64"/>
      </left>
      <right/>
      <top style="hair">
        <color indexed="64"/>
      </top>
      <bottom style="medium">
        <color indexed="64"/>
      </bottom>
      <diagonal/>
    </border>
    <border>
      <left style="medium">
        <color indexed="64"/>
      </left>
      <right style="thin">
        <color indexed="64"/>
      </right>
      <top/>
      <bottom style="hair">
        <color indexed="64"/>
      </bottom>
      <diagonal/>
    </border>
    <border>
      <left/>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style="dashed">
        <color indexed="64"/>
      </left>
      <right style="thick">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dashed">
        <color indexed="64"/>
      </bottom>
      <diagonal/>
    </border>
    <border>
      <left style="thick">
        <color indexed="64"/>
      </left>
      <right style="thin">
        <color indexed="64"/>
      </right>
      <top style="medium">
        <color indexed="64"/>
      </top>
      <bottom style="dashed">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dashed">
        <color indexed="64"/>
      </left>
      <right style="medium">
        <color indexed="64"/>
      </right>
      <top style="medium">
        <color indexed="64"/>
      </top>
      <bottom style="medium">
        <color indexed="64"/>
      </bottom>
      <diagonal/>
    </border>
    <border>
      <left style="medium">
        <color indexed="64"/>
      </left>
      <right/>
      <top style="dashed">
        <color indexed="64"/>
      </top>
      <bottom/>
      <diagonal/>
    </border>
    <border>
      <left/>
      <right style="medium">
        <color indexed="64"/>
      </right>
      <top style="dashed">
        <color indexed="64"/>
      </top>
      <bottom/>
      <diagonal/>
    </border>
    <border>
      <left style="thin">
        <color indexed="64"/>
      </left>
      <right style="thin">
        <color indexed="64"/>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dashed">
        <color indexed="64"/>
      </bottom>
      <diagonal/>
    </border>
    <border>
      <left style="medium">
        <color indexed="64"/>
      </left>
      <right/>
      <top/>
      <bottom style="hair">
        <color indexed="64"/>
      </bottom>
      <diagonal/>
    </border>
    <border>
      <left/>
      <right style="thin">
        <color indexed="64"/>
      </right>
      <top/>
      <bottom style="hair">
        <color indexed="64"/>
      </bottom>
      <diagonal/>
    </border>
    <border>
      <left style="thin">
        <color indexed="64"/>
      </left>
      <right/>
      <top/>
      <bottom/>
      <diagonal/>
    </border>
    <border>
      <left/>
      <right style="thin">
        <color indexed="64"/>
      </right>
      <top/>
      <bottom/>
      <diagonal/>
    </border>
    <border>
      <left/>
      <right style="thin">
        <color indexed="64"/>
      </right>
      <top style="dashed">
        <color indexed="64"/>
      </top>
      <bottom/>
      <diagonal/>
    </border>
    <border>
      <left style="thin">
        <color indexed="64"/>
      </left>
      <right style="medium">
        <color indexed="64"/>
      </right>
      <top style="dashed">
        <color indexed="64"/>
      </top>
      <bottom/>
      <diagonal/>
    </border>
    <border>
      <left style="medium">
        <color indexed="64"/>
      </left>
      <right style="medium">
        <color indexed="64"/>
      </right>
      <top style="dashed">
        <color indexed="64"/>
      </top>
      <bottom/>
      <diagonal/>
    </border>
    <border>
      <left style="thin">
        <color indexed="64"/>
      </left>
      <right/>
      <top style="dashed">
        <color indexed="64"/>
      </top>
      <bottom/>
      <diagonal/>
    </border>
    <border>
      <left/>
      <right/>
      <top style="dashed">
        <color indexed="64"/>
      </top>
      <bottom/>
      <diagonal/>
    </border>
    <border>
      <left style="thin">
        <color indexed="64"/>
      </left>
      <right/>
      <top style="dashed">
        <color indexed="64"/>
      </top>
      <bottom style="medium">
        <color indexed="64"/>
      </bottom>
      <diagonal/>
    </border>
    <border>
      <left style="thick">
        <color indexed="64"/>
      </left>
      <right/>
      <top style="thin">
        <color indexed="64"/>
      </top>
      <bottom style="dashed">
        <color indexed="64"/>
      </bottom>
      <diagonal/>
    </border>
    <border>
      <left/>
      <right style="hair">
        <color indexed="64"/>
      </right>
      <top style="thin">
        <color indexed="64"/>
      </top>
      <bottom style="dashed">
        <color indexed="64"/>
      </bottom>
      <diagonal/>
    </border>
    <border>
      <left style="thick">
        <color indexed="64"/>
      </left>
      <right/>
      <top style="dashed">
        <color indexed="64"/>
      </top>
      <bottom style="medium">
        <color indexed="64"/>
      </bottom>
      <diagonal/>
    </border>
    <border>
      <left/>
      <right style="hair">
        <color indexed="64"/>
      </right>
      <top style="dashed">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bottom style="dashed">
        <color indexed="64"/>
      </bottom>
      <diagonal/>
    </border>
    <border>
      <left/>
      <right style="dashed">
        <color indexed="64"/>
      </right>
      <top style="medium">
        <color indexed="64"/>
      </top>
      <bottom style="medium">
        <color indexed="64"/>
      </bottom>
      <diagonal/>
    </border>
    <border>
      <left style="hair">
        <color indexed="64"/>
      </left>
      <right/>
      <top style="medium">
        <color indexed="64"/>
      </top>
      <bottom style="dashed">
        <color indexed="64"/>
      </bottom>
      <diagonal/>
    </border>
    <border>
      <left/>
      <right style="hair">
        <color indexed="64"/>
      </right>
      <top style="medium">
        <color indexed="64"/>
      </top>
      <bottom style="dashed">
        <color indexed="64"/>
      </bottom>
      <diagonal/>
    </border>
    <border>
      <left style="medium">
        <color indexed="64"/>
      </left>
      <right style="dashed">
        <color indexed="64"/>
      </right>
      <top style="thin">
        <color indexed="64"/>
      </top>
      <bottom/>
      <diagonal/>
    </border>
    <border>
      <left style="medium">
        <color indexed="64"/>
      </left>
      <right style="dashed">
        <color indexed="64"/>
      </right>
      <top/>
      <bottom style="medium">
        <color indexed="64"/>
      </bottom>
      <diagonal/>
    </border>
    <border>
      <left style="dashed">
        <color indexed="64"/>
      </left>
      <right style="medium">
        <color indexed="64"/>
      </right>
      <top style="thin">
        <color indexed="64"/>
      </top>
      <bottom/>
      <diagonal/>
    </border>
    <border>
      <left style="dashed">
        <color indexed="64"/>
      </left>
      <right style="medium">
        <color indexed="64"/>
      </right>
      <top/>
      <bottom style="medium">
        <color indexed="64"/>
      </bottom>
      <diagonal/>
    </border>
    <border>
      <left/>
      <right style="thin">
        <color indexed="64"/>
      </right>
      <top style="dashed">
        <color indexed="64"/>
      </top>
      <bottom style="hair">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dashed">
        <color indexed="64"/>
      </bottom>
      <diagonal/>
    </border>
    <border>
      <left style="medium">
        <color indexed="64"/>
      </left>
      <right style="thin">
        <color indexed="64"/>
      </right>
      <top style="hair">
        <color indexed="64"/>
      </top>
      <bottom/>
      <diagonal/>
    </border>
    <border>
      <left style="thin">
        <color indexed="64"/>
      </left>
      <right style="medium">
        <color indexed="64"/>
      </right>
      <top style="hair">
        <color indexed="64"/>
      </top>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dashed">
        <color indexed="64"/>
      </bottom>
      <diagonal/>
    </border>
    <border>
      <left/>
      <right style="thin">
        <color indexed="64"/>
      </right>
      <top style="thin">
        <color indexed="64"/>
      </top>
      <bottom style="dashed">
        <color indexed="64"/>
      </bottom>
      <diagonal/>
    </border>
    <border>
      <left style="medium">
        <color indexed="64"/>
      </left>
      <right style="thin">
        <color indexed="64"/>
      </right>
      <top style="dashed">
        <color indexed="64"/>
      </top>
      <bottom/>
      <diagonal/>
    </border>
    <border>
      <left/>
      <right/>
      <top style="dashed">
        <color indexed="64"/>
      </top>
      <bottom style="hair">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top style="dashed">
        <color indexed="64"/>
      </top>
      <bottom style="hair">
        <color indexed="64"/>
      </bottom>
      <diagonal/>
    </border>
    <border>
      <left style="thin">
        <color indexed="64"/>
      </left>
      <right style="thin">
        <color indexed="64"/>
      </right>
      <top style="dashed">
        <color indexed="64"/>
      </top>
      <bottom/>
      <diagonal/>
    </border>
    <border>
      <left style="thick">
        <color indexed="64"/>
      </left>
      <right/>
      <top style="medium">
        <color indexed="64"/>
      </top>
      <bottom/>
      <diagonal/>
    </border>
    <border>
      <left/>
      <right style="thick">
        <color indexed="64"/>
      </right>
      <top style="dashed">
        <color indexed="64"/>
      </top>
      <bottom/>
      <diagonal/>
    </border>
    <border>
      <left style="thin">
        <color indexed="64"/>
      </left>
      <right style="medium">
        <color indexed="64"/>
      </right>
      <top/>
      <bottom/>
      <diagonal/>
    </border>
    <border>
      <left/>
      <right/>
      <top/>
      <bottom style="thin">
        <color indexed="64"/>
      </bottom>
      <diagonal/>
    </border>
    <border>
      <left style="thick">
        <color indexed="64"/>
      </left>
      <right/>
      <top style="medium">
        <color indexed="64"/>
      </top>
      <bottom style="dashed">
        <color indexed="64"/>
      </bottom>
      <diagonal/>
    </border>
    <border>
      <left style="thick">
        <color indexed="64"/>
      </left>
      <right/>
      <top/>
      <bottom style="medium">
        <color indexed="64"/>
      </bottom>
      <diagonal/>
    </border>
    <border>
      <left style="thin">
        <color indexed="64"/>
      </left>
      <right style="thick">
        <color indexed="64"/>
      </right>
      <top style="dashed">
        <color indexed="64"/>
      </top>
      <bottom/>
      <diagonal/>
    </border>
    <border>
      <left style="thick">
        <color indexed="64"/>
      </left>
      <right style="thin">
        <color indexed="64"/>
      </right>
      <top style="dashed">
        <color indexed="64"/>
      </top>
      <bottom/>
      <diagonal/>
    </border>
    <border>
      <left/>
      <right/>
      <top style="thin">
        <color theme="4" tint="0.39997558519241921"/>
      </top>
      <bottom/>
      <diagonal/>
    </border>
    <border>
      <left/>
      <right/>
      <top style="thin">
        <color theme="4" tint="0.39997558519241921"/>
      </top>
      <bottom style="medium">
        <color indexed="64"/>
      </bottom>
      <diagonal/>
    </border>
    <border>
      <left/>
      <right/>
      <top style="medium">
        <color indexed="64"/>
      </top>
      <bottom style="thin">
        <color theme="4" tint="0.39997558519241921"/>
      </bottom>
      <diagonal/>
    </border>
    <border>
      <left/>
      <right/>
      <top/>
      <bottom style="thin">
        <color theme="4" tint="0.39997558519241921"/>
      </bottom>
      <diagonal/>
    </border>
    <border>
      <left style="medium">
        <color indexed="64"/>
      </left>
      <right/>
      <top style="medium">
        <color indexed="64"/>
      </top>
      <bottom style="thin">
        <color theme="4" tint="0.39997558519241921"/>
      </bottom>
      <diagonal/>
    </border>
    <border>
      <left style="thin">
        <color indexed="64"/>
      </left>
      <right style="medium">
        <color indexed="64"/>
      </right>
      <top style="dashed">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top style="thin">
        <color theme="4" tint="0.39997558519241921"/>
      </top>
      <bottom/>
      <diagonal/>
    </border>
    <border>
      <left/>
      <right style="medium">
        <color rgb="FF000000"/>
      </right>
      <top style="thin">
        <color theme="4" tint="0.39997558519241921"/>
      </top>
      <bottom/>
      <diagonal/>
    </border>
    <border>
      <left style="thin">
        <color indexed="64"/>
      </left>
      <right style="thin">
        <color indexed="64"/>
      </right>
      <top/>
      <bottom style="thin">
        <color indexed="64"/>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919">
    <xf numFmtId="0" fontId="0" fillId="0" borderId="0" xfId="0"/>
    <xf numFmtId="0" fontId="0" fillId="0" borderId="0" xfId="0" applyAlignment="1" applyProtection="1">
      <alignment horizontal="center" vertical="center"/>
      <protection hidden="1"/>
    </xf>
    <xf numFmtId="0" fontId="0" fillId="2" borderId="1" xfId="0" applyFill="1" applyBorder="1" applyAlignment="1" applyProtection="1">
      <alignment horizontal="center" vertical="center"/>
      <protection hidden="1"/>
    </xf>
    <xf numFmtId="0" fontId="4" fillId="0" borderId="2" xfId="0" applyFont="1" applyBorder="1" applyAlignment="1" applyProtection="1">
      <alignment horizontal="right" vertical="center" indent="1"/>
      <protection hidden="1"/>
    </xf>
    <xf numFmtId="0" fontId="4" fillId="0" borderId="2" xfId="0" applyFont="1" applyBorder="1" applyAlignment="1" applyProtection="1">
      <alignment horizontal="right" vertical="center"/>
      <protection hidden="1"/>
    </xf>
    <xf numFmtId="0" fontId="5" fillId="3" borderId="3" xfId="0" applyFont="1" applyFill="1" applyBorder="1" applyAlignment="1" applyProtection="1">
      <alignment horizontal="center" vertical="center"/>
      <protection hidden="1"/>
    </xf>
    <xf numFmtId="0" fontId="6" fillId="0" borderId="4"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6"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hidden="1"/>
    </xf>
    <xf numFmtId="0" fontId="8" fillId="3" borderId="11" xfId="0" applyFont="1" applyFill="1" applyBorder="1" applyAlignment="1" applyProtection="1">
      <alignment horizontal="center" vertical="center"/>
      <protection hidden="1"/>
    </xf>
    <xf numFmtId="0" fontId="8" fillId="3" borderId="12" xfId="0" applyFont="1" applyFill="1" applyBorder="1" applyAlignment="1" applyProtection="1">
      <alignment horizontal="center" vertical="center"/>
      <protection hidden="1"/>
    </xf>
    <xf numFmtId="0" fontId="4" fillId="2" borderId="13" xfId="0" applyFont="1" applyFill="1" applyBorder="1" applyAlignment="1" applyProtection="1">
      <alignment horizontal="center" vertical="center"/>
      <protection hidden="1"/>
    </xf>
    <xf numFmtId="0" fontId="7" fillId="0" borderId="14" xfId="0" applyFont="1" applyBorder="1" applyAlignment="1" applyProtection="1">
      <alignment horizontal="center" vertical="center" shrinkToFit="1"/>
      <protection hidden="1"/>
    </xf>
    <xf numFmtId="0" fontId="7" fillId="0" borderId="15" xfId="0" applyFont="1" applyBorder="1" applyAlignment="1" applyProtection="1">
      <alignment horizontal="center" vertical="center"/>
      <protection hidden="1"/>
    </xf>
    <xf numFmtId="0" fontId="7" fillId="0" borderId="16" xfId="0" applyFont="1" applyBorder="1" applyAlignment="1" applyProtection="1">
      <alignment horizontal="center" vertical="center"/>
      <protection hidden="1"/>
    </xf>
    <xf numFmtId="3" fontId="7" fillId="0" borderId="17" xfId="0" applyNumberFormat="1" applyFont="1" applyBorder="1" applyAlignment="1" applyProtection="1">
      <alignment horizontal="center" vertical="center"/>
      <protection hidden="1"/>
    </xf>
    <xf numFmtId="0" fontId="7" fillId="0" borderId="18" xfId="0" applyFont="1" applyBorder="1" applyAlignment="1" applyProtection="1">
      <alignment horizontal="center" vertical="center" shrinkToFit="1"/>
      <protection hidden="1"/>
    </xf>
    <xf numFmtId="0" fontId="7" fillId="0" borderId="14" xfId="0" applyFont="1" applyBorder="1" applyAlignment="1" applyProtection="1">
      <alignment horizontal="center" vertical="center"/>
      <protection hidden="1"/>
    </xf>
    <xf numFmtId="0" fontId="7" fillId="0" borderId="19" xfId="0" applyFont="1" applyBorder="1" applyAlignment="1" applyProtection="1">
      <alignment horizontal="center" vertical="center"/>
      <protection hidden="1"/>
    </xf>
    <xf numFmtId="165" fontId="9" fillId="3" borderId="5" xfId="0" applyNumberFormat="1" applyFont="1" applyFill="1" applyBorder="1" applyAlignment="1" applyProtection="1">
      <alignment horizontal="center" vertical="center" shrinkToFit="1"/>
      <protection hidden="1"/>
    </xf>
    <xf numFmtId="0" fontId="7" fillId="0" borderId="20" xfId="0" applyFont="1" applyBorder="1" applyAlignment="1" applyProtection="1">
      <alignment horizontal="center" vertical="center" shrinkToFit="1"/>
      <protection hidden="1"/>
    </xf>
    <xf numFmtId="0" fontId="7" fillId="0" borderId="21" xfId="0" applyFont="1" applyBorder="1" applyAlignment="1" applyProtection="1">
      <alignment horizontal="center" vertical="center"/>
      <protection hidden="1"/>
    </xf>
    <xf numFmtId="0" fontId="6" fillId="0" borderId="22" xfId="0" applyFont="1" applyBorder="1" applyAlignment="1" applyProtection="1">
      <alignment horizontal="center" vertical="center"/>
      <protection locked="0" hidden="1"/>
    </xf>
    <xf numFmtId="166" fontId="9" fillId="3" borderId="5" xfId="0" applyNumberFormat="1" applyFont="1" applyFill="1" applyBorder="1" applyAlignment="1" applyProtection="1">
      <alignment horizontal="center" vertical="center" shrinkToFit="1"/>
      <protection hidden="1"/>
    </xf>
    <xf numFmtId="0" fontId="4" fillId="2" borderId="2" xfId="0" applyFont="1" applyFill="1" applyBorder="1" applyAlignment="1" applyProtection="1">
      <alignment horizontal="center" vertical="center" shrinkToFit="1"/>
      <protection locked="0" hidden="1"/>
    </xf>
    <xf numFmtId="0" fontId="4" fillId="2" borderId="23" xfId="0" applyFont="1" applyFill="1" applyBorder="1" applyAlignment="1" applyProtection="1">
      <alignment horizontal="center" vertical="center"/>
      <protection hidden="1"/>
    </xf>
    <xf numFmtId="0" fontId="4" fillId="2" borderId="24" xfId="0" applyFont="1" applyFill="1" applyBorder="1" applyAlignment="1" applyProtection="1">
      <alignment horizontal="center" vertical="center"/>
      <protection hidden="1"/>
    </xf>
    <xf numFmtId="0" fontId="4" fillId="2" borderId="25" xfId="0" applyFont="1" applyFill="1" applyBorder="1" applyAlignment="1" applyProtection="1">
      <alignment horizontal="center" vertical="center"/>
      <protection hidden="1"/>
    </xf>
    <xf numFmtId="0" fontId="4" fillId="2" borderId="26" xfId="0" applyFont="1" applyFill="1" applyBorder="1" applyAlignment="1" applyProtection="1">
      <alignment horizontal="center" vertical="center"/>
      <protection hidden="1"/>
    </xf>
    <xf numFmtId="167" fontId="0" fillId="3" borderId="14" xfId="0" applyNumberFormat="1" applyFill="1" applyBorder="1" applyAlignment="1" applyProtection="1">
      <alignment horizontal="center" vertical="center"/>
      <protection hidden="1"/>
    </xf>
    <xf numFmtId="168" fontId="4" fillId="0" borderId="7" xfId="0" applyNumberFormat="1" applyFont="1" applyBorder="1" applyAlignment="1" applyProtection="1">
      <alignment horizontal="center" vertical="center" shrinkToFit="1"/>
      <protection locked="0" hidden="1"/>
    </xf>
    <xf numFmtId="0" fontId="0" fillId="0" borderId="0" xfId="0" applyProtection="1">
      <protection hidden="1"/>
    </xf>
    <xf numFmtId="0" fontId="10" fillId="2" borderId="2" xfId="0" applyFont="1" applyFill="1" applyBorder="1" applyAlignment="1" applyProtection="1">
      <alignment horizontal="center" vertical="center"/>
      <protection hidden="1"/>
    </xf>
    <xf numFmtId="0" fontId="4" fillId="4" borderId="27" xfId="0" applyFont="1" applyFill="1" applyBorder="1" applyAlignment="1" applyProtection="1">
      <alignment horizontal="center" vertical="center"/>
      <protection hidden="1"/>
    </xf>
    <xf numFmtId="0" fontId="4" fillId="4" borderId="28" xfId="0" applyFont="1" applyFill="1" applyBorder="1" applyAlignment="1" applyProtection="1">
      <alignment horizontal="center" vertical="center"/>
      <protection hidden="1"/>
    </xf>
    <xf numFmtId="0" fontId="11" fillId="0" borderId="0" xfId="0" applyFont="1" applyAlignment="1" applyProtection="1">
      <alignment horizontal="center" vertical="center"/>
      <protection hidden="1"/>
    </xf>
    <xf numFmtId="0" fontId="0" fillId="0" borderId="0" xfId="0" applyAlignment="1" applyProtection="1">
      <alignment horizontal="center" vertical="center" shrinkToFit="1"/>
      <protection hidden="1"/>
    </xf>
    <xf numFmtId="0" fontId="0" fillId="0" borderId="0" xfId="0" applyAlignment="1" applyProtection="1">
      <alignment horizontal="center" vertical="center" shrinkToFit="1"/>
      <protection locked="0" hidden="1"/>
    </xf>
    <xf numFmtId="0" fontId="4" fillId="0" borderId="30" xfId="0" applyFont="1" applyBorder="1" applyAlignment="1">
      <alignment horizontal="center" vertical="center"/>
    </xf>
    <xf numFmtId="0" fontId="12" fillId="0" borderId="0" xfId="0" applyFont="1" applyAlignment="1" applyProtection="1">
      <alignment horizontal="center" vertical="center" shrinkToFit="1"/>
      <protection hidden="1"/>
    </xf>
    <xf numFmtId="0" fontId="12" fillId="0" borderId="0" xfId="0" applyFont="1" applyAlignment="1" applyProtection="1">
      <alignment horizontal="center" vertical="center"/>
      <protection hidden="1"/>
    </xf>
    <xf numFmtId="164" fontId="12" fillId="0" borderId="0" xfId="0" applyNumberFormat="1" applyFont="1" applyAlignment="1" applyProtection="1">
      <alignment horizontal="center" vertical="center" shrinkToFit="1"/>
      <protection hidden="1"/>
    </xf>
    <xf numFmtId="0" fontId="12" fillId="0" borderId="0" xfId="0" applyFont="1" applyAlignment="1" applyProtection="1">
      <alignment horizontal="center" vertical="center" shrinkToFit="1"/>
      <protection locked="0" hidden="1"/>
    </xf>
    <xf numFmtId="0" fontId="8" fillId="0" borderId="0" xfId="0" applyFont="1" applyAlignment="1" applyProtection="1">
      <alignment horizontal="center" vertical="center"/>
      <protection hidden="1"/>
    </xf>
    <xf numFmtId="0" fontId="0" fillId="0" borderId="0" xfId="0" applyAlignment="1">
      <alignment horizontal="center" vertical="center"/>
    </xf>
    <xf numFmtId="165" fontId="0" fillId="0" borderId="0" xfId="0" applyNumberFormat="1" applyAlignment="1">
      <alignment horizontal="center" vertical="center"/>
    </xf>
    <xf numFmtId="0" fontId="4" fillId="0" borderId="0" xfId="0" applyFont="1" applyAlignment="1">
      <alignment horizontal="center" vertical="center"/>
    </xf>
    <xf numFmtId="0" fontId="4" fillId="5" borderId="3" xfId="0" applyFont="1" applyFill="1" applyBorder="1" applyAlignment="1" applyProtection="1">
      <alignment horizontal="center" vertical="center"/>
      <protection hidden="1"/>
    </xf>
    <xf numFmtId="0" fontId="4" fillId="2" borderId="32" xfId="0" applyFont="1" applyFill="1" applyBorder="1" applyAlignment="1" applyProtection="1">
      <alignment horizontal="center" vertical="center"/>
      <protection hidden="1"/>
    </xf>
    <xf numFmtId="3" fontId="7" fillId="0" borderId="33" xfId="0" applyNumberFormat="1" applyFont="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8" fillId="3" borderId="10" xfId="0" applyFont="1" applyFill="1" applyBorder="1" applyAlignment="1" applyProtection="1">
      <alignment horizontal="center" vertical="center"/>
      <protection hidden="1"/>
    </xf>
    <xf numFmtId="44" fontId="0" fillId="0" borderId="0" xfId="0" applyNumberFormat="1" applyAlignment="1">
      <alignment horizontal="center" vertical="center"/>
    </xf>
    <xf numFmtId="0" fontId="10" fillId="6" borderId="30" xfId="0" applyFont="1" applyFill="1" applyBorder="1" applyAlignment="1" applyProtection="1">
      <alignment vertical="center"/>
      <protection hidden="1"/>
    </xf>
    <xf numFmtId="0" fontId="4" fillId="2" borderId="35" xfId="0" applyFont="1" applyFill="1" applyBorder="1" applyAlignment="1" applyProtection="1">
      <alignment horizontal="center" vertical="center"/>
      <protection hidden="1"/>
    </xf>
    <xf numFmtId="0" fontId="4" fillId="2" borderId="36" xfId="0" applyFont="1" applyFill="1" applyBorder="1" applyAlignment="1" applyProtection="1">
      <alignment horizontal="center" vertical="center"/>
      <protection hidden="1"/>
    </xf>
    <xf numFmtId="0" fontId="4" fillId="2" borderId="37" xfId="0" applyFont="1" applyFill="1" applyBorder="1" applyAlignment="1" applyProtection="1">
      <alignment horizontal="center" vertical="center"/>
      <protection hidden="1"/>
    </xf>
    <xf numFmtId="0" fontId="4" fillId="2" borderId="38" xfId="0" applyFont="1" applyFill="1" applyBorder="1" applyAlignment="1" applyProtection="1">
      <alignment horizontal="center" vertical="center"/>
      <protection hidden="1"/>
    </xf>
    <xf numFmtId="1" fontId="9" fillId="0" borderId="33" xfId="0" applyNumberFormat="1" applyFont="1" applyBorder="1" applyAlignment="1" applyProtection="1">
      <alignment horizontal="center" vertical="center"/>
      <protection hidden="1"/>
    </xf>
    <xf numFmtId="0" fontId="13" fillId="0" borderId="39" xfId="0" applyFont="1" applyBorder="1" applyAlignment="1" applyProtection="1">
      <alignment horizontal="center" vertical="center"/>
      <protection locked="0" hidden="1"/>
    </xf>
    <xf numFmtId="0" fontId="13" fillId="0" borderId="14" xfId="0" applyFont="1" applyBorder="1" applyAlignment="1" applyProtection="1">
      <alignment horizontal="center" vertical="center"/>
      <protection locked="0" hidden="1"/>
    </xf>
    <xf numFmtId="168" fontId="9" fillId="0" borderId="14" xfId="0" applyNumberFormat="1" applyFont="1" applyBorder="1" applyAlignment="1" applyProtection="1">
      <alignment horizontal="center" vertical="center"/>
      <protection locked="0" hidden="1"/>
    </xf>
    <xf numFmtId="1" fontId="9" fillId="3" borderId="7" xfId="0" applyNumberFormat="1" applyFont="1" applyFill="1" applyBorder="1" applyAlignment="1" applyProtection="1">
      <alignment horizontal="center" vertical="center"/>
      <protection hidden="1"/>
    </xf>
    <xf numFmtId="168" fontId="14" fillId="3" borderId="40" xfId="0" applyNumberFormat="1" applyFont="1" applyFill="1" applyBorder="1" applyAlignment="1" applyProtection="1">
      <alignment horizontal="center" vertical="center"/>
      <protection hidden="1"/>
    </xf>
    <xf numFmtId="168" fontId="13" fillId="0" borderId="0" xfId="0" applyNumberFormat="1" applyFont="1" applyAlignment="1" applyProtection="1">
      <alignment horizontal="center" vertical="center"/>
      <protection hidden="1"/>
    </xf>
    <xf numFmtId="0" fontId="7" fillId="2" borderId="31" xfId="0" applyFont="1" applyFill="1" applyBorder="1" applyAlignment="1" applyProtection="1">
      <alignment horizontal="center" vertical="center"/>
      <protection hidden="1"/>
    </xf>
    <xf numFmtId="0" fontId="7" fillId="2" borderId="7" xfId="0" applyFont="1" applyFill="1" applyBorder="1" applyAlignment="1" applyProtection="1">
      <alignment horizontal="center" vertical="center"/>
      <protection hidden="1"/>
    </xf>
    <xf numFmtId="0" fontId="4" fillId="3" borderId="41" xfId="0" applyFont="1" applyFill="1" applyBorder="1" applyAlignment="1" applyProtection="1">
      <alignment horizontal="center" vertical="center"/>
      <protection hidden="1"/>
    </xf>
    <xf numFmtId="0" fontId="4" fillId="3" borderId="42" xfId="0" applyFont="1" applyFill="1" applyBorder="1" applyAlignment="1" applyProtection="1">
      <alignment horizontal="center" vertical="center"/>
      <protection hidden="1"/>
    </xf>
    <xf numFmtId="0" fontId="4" fillId="3" borderId="43" xfId="0" applyFont="1" applyFill="1" applyBorder="1" applyAlignment="1" applyProtection="1">
      <alignment horizontal="center" vertical="center"/>
      <protection hidden="1"/>
    </xf>
    <xf numFmtId="0" fontId="4" fillId="3" borderId="44" xfId="0" applyFont="1" applyFill="1" applyBorder="1" applyAlignment="1" applyProtection="1">
      <alignment horizontal="center" vertical="center"/>
      <protection hidden="1"/>
    </xf>
    <xf numFmtId="1" fontId="9" fillId="0" borderId="7" xfId="0" applyNumberFormat="1" applyFont="1" applyBorder="1" applyAlignment="1" applyProtection="1">
      <alignment horizontal="center" vertical="center"/>
      <protection hidden="1"/>
    </xf>
    <xf numFmtId="0" fontId="13" fillId="3" borderId="33" xfId="0" applyFont="1" applyFill="1" applyBorder="1" applyAlignment="1" applyProtection="1">
      <alignment horizontal="center" vertical="center"/>
      <protection hidden="1"/>
    </xf>
    <xf numFmtId="0" fontId="13" fillId="3" borderId="14" xfId="0" applyFont="1" applyFill="1" applyBorder="1" applyAlignment="1" applyProtection="1">
      <alignment horizontal="center" vertical="center"/>
      <protection hidden="1"/>
    </xf>
    <xf numFmtId="0" fontId="13" fillId="3" borderId="7" xfId="0" applyFont="1" applyFill="1" applyBorder="1" applyAlignment="1" applyProtection="1">
      <alignment horizontal="center" vertical="center"/>
      <protection hidden="1"/>
    </xf>
    <xf numFmtId="165" fontId="9" fillId="0" borderId="45" xfId="0" applyNumberFormat="1" applyFont="1" applyBorder="1" applyAlignment="1" applyProtection="1">
      <alignment horizontal="center" vertical="center"/>
      <protection locked="0" hidden="1"/>
    </xf>
    <xf numFmtId="165" fontId="9" fillId="3" borderId="14" xfId="0" applyNumberFormat="1" applyFont="1" applyFill="1" applyBorder="1" applyAlignment="1" applyProtection="1">
      <alignment horizontal="center" vertical="center"/>
      <protection hidden="1"/>
    </xf>
    <xf numFmtId="169" fontId="15" fillId="0" borderId="0" xfId="0" applyNumberFormat="1" applyFont="1" applyAlignment="1" applyProtection="1">
      <alignment horizontal="center" vertical="center" shrinkToFit="1"/>
      <protection hidden="1"/>
    </xf>
    <xf numFmtId="0" fontId="4" fillId="2" borderId="3" xfId="0" applyFont="1" applyFill="1" applyBorder="1" applyAlignment="1" applyProtection="1">
      <alignment horizontal="center" vertical="center"/>
      <protection hidden="1"/>
    </xf>
    <xf numFmtId="0" fontId="4" fillId="2" borderId="46" xfId="0" applyFont="1" applyFill="1" applyBorder="1" applyAlignment="1" applyProtection="1">
      <alignment horizontal="center" vertical="center"/>
      <protection hidden="1"/>
    </xf>
    <xf numFmtId="169" fontId="0" fillId="0" borderId="0" xfId="0" applyNumberFormat="1" applyAlignment="1">
      <alignment horizontal="center" vertical="center"/>
    </xf>
    <xf numFmtId="0" fontId="13" fillId="0" borderId="33" xfId="0" applyFont="1" applyBorder="1" applyAlignment="1" applyProtection="1">
      <alignment horizontal="center" vertical="center"/>
      <protection locked="0" hidden="1"/>
    </xf>
    <xf numFmtId="0" fontId="0" fillId="0" borderId="14" xfId="0" applyBorder="1" applyAlignment="1" applyProtection="1">
      <alignment horizontal="center" vertical="center"/>
      <protection locked="0" hidden="1"/>
    </xf>
    <xf numFmtId="0" fontId="13" fillId="0" borderId="7" xfId="0" applyFont="1" applyBorder="1" applyAlignment="1" applyProtection="1">
      <alignment horizontal="center" vertical="center"/>
      <protection locked="0" hidden="1"/>
    </xf>
    <xf numFmtId="0" fontId="13" fillId="3" borderId="47" xfId="0" applyFont="1" applyFill="1" applyBorder="1" applyAlignment="1" applyProtection="1">
      <alignment horizontal="center" vertical="center"/>
      <protection hidden="1"/>
    </xf>
    <xf numFmtId="165" fontId="9" fillId="3" borderId="33" xfId="0" applyNumberFormat="1" applyFont="1" applyFill="1" applyBorder="1" applyAlignment="1" applyProtection="1">
      <alignment horizontal="center" vertical="center"/>
      <protection hidden="1"/>
    </xf>
    <xf numFmtId="14" fontId="9" fillId="3" borderId="19" xfId="0" applyNumberFormat="1" applyFont="1" applyFill="1" applyBorder="1" applyAlignment="1" applyProtection="1">
      <alignment horizontal="center" vertical="center"/>
      <protection hidden="1"/>
    </xf>
    <xf numFmtId="0" fontId="10" fillId="7" borderId="1" xfId="0" applyFont="1" applyFill="1" applyBorder="1" applyAlignment="1" applyProtection="1">
      <alignment horizontal="center" vertical="center"/>
      <protection hidden="1"/>
    </xf>
    <xf numFmtId="0" fontId="9" fillId="3" borderId="48" xfId="0" applyFont="1" applyFill="1" applyBorder="1" applyAlignment="1" applyProtection="1">
      <alignment horizontal="center" vertical="center"/>
      <protection locked="0"/>
    </xf>
    <xf numFmtId="0" fontId="7" fillId="7" borderId="49" xfId="0" applyFont="1" applyFill="1" applyBorder="1" applyAlignment="1" applyProtection="1">
      <alignment horizontal="center"/>
      <protection hidden="1"/>
    </xf>
    <xf numFmtId="0" fontId="7" fillId="3" borderId="48" xfId="0" applyFont="1" applyFill="1" applyBorder="1" applyAlignment="1" applyProtection="1">
      <alignment horizontal="center"/>
      <protection hidden="1"/>
    </xf>
    <xf numFmtId="0" fontId="4" fillId="7" borderId="2" xfId="0" applyFont="1" applyFill="1" applyBorder="1" applyAlignment="1" applyProtection="1">
      <alignment horizontal="center" vertical="center"/>
      <protection hidden="1"/>
    </xf>
    <xf numFmtId="0" fontId="10" fillId="7" borderId="51" xfId="0" applyFont="1" applyFill="1" applyBorder="1" applyAlignment="1" applyProtection="1">
      <alignment vertical="center"/>
      <protection hidden="1"/>
    </xf>
    <xf numFmtId="0" fontId="10" fillId="7" borderId="30" xfId="0" applyFont="1" applyFill="1" applyBorder="1" applyAlignment="1" applyProtection="1">
      <alignment vertical="center"/>
      <protection hidden="1"/>
    </xf>
    <xf numFmtId="0" fontId="4" fillId="2" borderId="52" xfId="0" applyFont="1" applyFill="1" applyBorder="1" applyAlignment="1" applyProtection="1">
      <alignment horizontal="center" vertical="center"/>
      <protection hidden="1"/>
    </xf>
    <xf numFmtId="0" fontId="4" fillId="2" borderId="53" xfId="0" applyFont="1" applyFill="1" applyBorder="1" applyAlignment="1" applyProtection="1">
      <alignment horizontal="center" vertical="center"/>
      <protection hidden="1"/>
    </xf>
    <xf numFmtId="0" fontId="0" fillId="8" borderId="54" xfId="0" applyFill="1" applyBorder="1" applyAlignment="1" applyProtection="1">
      <alignment horizontal="center" vertical="center"/>
      <protection locked="0"/>
    </xf>
    <xf numFmtId="170" fontId="15" fillId="2" borderId="32" xfId="0" applyNumberFormat="1" applyFont="1" applyFill="1" applyBorder="1" applyAlignment="1" applyProtection="1">
      <alignment horizontal="center" vertical="center" readingOrder="2"/>
      <protection locked="0"/>
    </xf>
    <xf numFmtId="0" fontId="0" fillId="8" borderId="26" xfId="0" applyFill="1" applyBorder="1" applyAlignment="1" applyProtection="1">
      <alignment horizontal="center" vertical="center"/>
      <protection locked="0"/>
    </xf>
    <xf numFmtId="0" fontId="4" fillId="2" borderId="55" xfId="0" applyFont="1" applyFill="1" applyBorder="1" applyAlignment="1" applyProtection="1">
      <alignment horizontal="center" vertical="center"/>
      <protection locked="0" hidden="1"/>
    </xf>
    <xf numFmtId="0" fontId="0" fillId="8" borderId="24" xfId="0" applyFill="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168" fontId="16" fillId="0" borderId="56" xfId="0" applyNumberFormat="1" applyFont="1" applyBorder="1" applyAlignment="1" applyProtection="1">
      <alignment horizontal="center" vertical="center"/>
      <protection hidden="1"/>
    </xf>
    <xf numFmtId="168" fontId="17" fillId="0" borderId="57" xfId="0" applyNumberFormat="1" applyFont="1" applyBorder="1" applyAlignment="1" applyProtection="1">
      <alignment horizontal="center" vertical="center"/>
      <protection locked="0"/>
    </xf>
    <xf numFmtId="168" fontId="17" fillId="0" borderId="7" xfId="0" applyNumberFormat="1" applyFont="1" applyBorder="1" applyAlignment="1" applyProtection="1">
      <alignment horizontal="center" vertical="center"/>
      <protection locked="0"/>
    </xf>
    <xf numFmtId="0" fontId="9" fillId="0" borderId="5" xfId="0" applyFont="1" applyBorder="1" applyAlignment="1" applyProtection="1">
      <alignment horizontal="center" vertical="center"/>
      <protection locked="0" hidden="1"/>
    </xf>
    <xf numFmtId="168" fontId="17" fillId="3" borderId="17" xfId="0" applyNumberFormat="1" applyFont="1" applyFill="1" applyBorder="1" applyAlignment="1" applyProtection="1">
      <alignment horizontal="center" vertical="center"/>
      <protection hidden="1"/>
    </xf>
    <xf numFmtId="168" fontId="16" fillId="9" borderId="47" xfId="0" applyNumberFormat="1" applyFont="1" applyFill="1" applyBorder="1" applyAlignment="1" applyProtection="1">
      <alignment horizontal="center" vertical="center"/>
      <protection locked="0" hidden="1"/>
    </xf>
    <xf numFmtId="165" fontId="0" fillId="0" borderId="0" xfId="0" applyNumberFormat="1" applyAlignment="1" applyProtection="1">
      <alignment horizontal="center" vertical="center"/>
      <protection locked="0" hidden="1"/>
    </xf>
    <xf numFmtId="165" fontId="0" fillId="0" borderId="0" xfId="0" applyNumberFormat="1" applyAlignment="1" applyProtection="1">
      <alignment horizontal="center" vertical="center"/>
      <protection hidden="1"/>
    </xf>
    <xf numFmtId="0" fontId="4" fillId="0" borderId="58" xfId="0" applyFont="1" applyBorder="1" applyAlignment="1" applyProtection="1">
      <alignment horizontal="center" vertical="center"/>
      <protection locked="0"/>
    </xf>
    <xf numFmtId="0" fontId="4" fillId="0" borderId="59" xfId="0" applyFont="1" applyBorder="1" applyAlignment="1" applyProtection="1">
      <alignment horizontal="center" vertical="center"/>
      <protection locked="0"/>
    </xf>
    <xf numFmtId="165" fontId="17" fillId="0" borderId="59" xfId="0" applyNumberFormat="1"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1" fontId="4" fillId="0" borderId="7" xfId="0" applyNumberFormat="1" applyFont="1" applyBorder="1" applyAlignment="1" applyProtection="1">
      <alignment horizontal="center" vertical="center"/>
      <protection locked="0"/>
    </xf>
    <xf numFmtId="165" fontId="17" fillId="0" borderId="7" xfId="0" applyNumberFormat="1" applyFont="1" applyBorder="1" applyAlignment="1" applyProtection="1">
      <alignment horizontal="center" vertical="center"/>
      <protection locked="0"/>
    </xf>
    <xf numFmtId="0" fontId="0" fillId="0" borderId="0" xfId="0" applyAlignment="1">
      <alignment horizontal="center" vertical="center" shrinkToFit="1"/>
    </xf>
    <xf numFmtId="0" fontId="0" fillId="0" borderId="0" xfId="0" applyAlignment="1" applyProtection="1">
      <alignment horizontal="center" vertical="center" shrinkToFit="1"/>
      <protection locked="0"/>
    </xf>
    <xf numFmtId="165" fontId="0" fillId="0" borderId="0" xfId="0" applyNumberFormat="1" applyAlignment="1">
      <alignment horizontal="center" vertical="center" shrinkToFit="1"/>
    </xf>
    <xf numFmtId="0" fontId="4" fillId="2" borderId="44" xfId="0" applyFont="1" applyFill="1" applyBorder="1" applyAlignment="1" applyProtection="1">
      <alignment horizontal="center" vertical="center"/>
      <protection hidden="1"/>
    </xf>
    <xf numFmtId="0" fontId="4" fillId="2" borderId="42" xfId="0" applyFont="1" applyFill="1" applyBorder="1" applyAlignment="1" applyProtection="1">
      <alignment horizontal="center" vertical="center"/>
      <protection hidden="1"/>
    </xf>
    <xf numFmtId="0" fontId="4" fillId="2" borderId="60" xfId="0" applyFont="1" applyFill="1" applyBorder="1" applyAlignment="1" applyProtection="1">
      <alignment horizontal="center" vertical="center"/>
      <protection hidden="1"/>
    </xf>
    <xf numFmtId="0" fontId="4" fillId="2" borderId="28" xfId="0" applyFont="1" applyFill="1" applyBorder="1" applyAlignment="1" applyProtection="1">
      <alignment horizontal="center" vertical="center"/>
      <protection hidden="1"/>
    </xf>
    <xf numFmtId="0" fontId="7" fillId="10" borderId="9" xfId="0" applyFont="1" applyFill="1" applyBorder="1" applyAlignment="1" applyProtection="1">
      <alignment horizontal="center" vertical="center"/>
      <protection hidden="1"/>
    </xf>
    <xf numFmtId="0" fontId="7" fillId="10" borderId="10" xfId="0" applyFont="1" applyFill="1" applyBorder="1" applyAlignment="1" applyProtection="1">
      <alignment horizontal="center" vertical="center"/>
      <protection hidden="1"/>
    </xf>
    <xf numFmtId="0" fontId="12" fillId="0" borderId="0" xfId="0" applyFont="1" applyAlignment="1">
      <alignment horizontal="center" vertical="center" shrinkToFit="1"/>
    </xf>
    <xf numFmtId="0" fontId="0" fillId="0" borderId="0" xfId="0" applyAlignment="1" applyProtection="1">
      <alignment horizontal="center" vertical="center"/>
      <protection locked="0"/>
    </xf>
    <xf numFmtId="168" fontId="13" fillId="3" borderId="40" xfId="0" applyNumberFormat="1" applyFont="1" applyFill="1" applyBorder="1" applyAlignment="1" applyProtection="1">
      <alignment horizontal="center" vertical="center"/>
      <protection hidden="1"/>
    </xf>
    <xf numFmtId="0" fontId="4" fillId="5" borderId="60" xfId="0" applyFont="1" applyFill="1" applyBorder="1" applyAlignment="1" applyProtection="1">
      <alignment horizontal="center" vertical="center"/>
      <protection hidden="1"/>
    </xf>
    <xf numFmtId="165" fontId="0" fillId="0" borderId="47" xfId="0" applyNumberFormat="1" applyBorder="1" applyAlignment="1">
      <alignment horizontal="center" vertical="center"/>
    </xf>
    <xf numFmtId="0" fontId="4" fillId="3" borderId="61" xfId="0" applyFont="1" applyFill="1" applyBorder="1" applyAlignment="1" applyProtection="1">
      <alignment horizontal="center" vertical="center"/>
      <protection hidden="1"/>
    </xf>
    <xf numFmtId="0" fontId="13" fillId="3" borderId="19" xfId="0" applyFont="1" applyFill="1" applyBorder="1" applyAlignment="1" applyProtection="1">
      <alignment horizontal="center" vertical="center"/>
      <protection hidden="1"/>
    </xf>
    <xf numFmtId="165" fontId="9" fillId="0" borderId="62" xfId="0" applyNumberFormat="1" applyFont="1" applyBorder="1" applyAlignment="1" applyProtection="1">
      <alignment horizontal="center" vertical="center" shrinkToFit="1"/>
      <protection locked="0" hidden="1"/>
    </xf>
    <xf numFmtId="165" fontId="9" fillId="3" borderId="14" xfId="0" applyNumberFormat="1" applyFont="1" applyFill="1" applyBorder="1" applyAlignment="1" applyProtection="1">
      <alignment horizontal="center" vertical="center"/>
      <protection locked="0" hidden="1"/>
    </xf>
    <xf numFmtId="2" fontId="9" fillId="3" borderId="7" xfId="0" applyNumberFormat="1" applyFont="1" applyFill="1" applyBorder="1" applyAlignment="1" applyProtection="1">
      <alignment horizontal="center" vertical="center"/>
      <protection hidden="1"/>
    </xf>
    <xf numFmtId="171" fontId="9" fillId="3" borderId="8" xfId="0" applyNumberFormat="1" applyFont="1" applyFill="1" applyBorder="1" applyAlignment="1" applyProtection="1">
      <alignment horizontal="center" vertical="center"/>
      <protection hidden="1"/>
    </xf>
    <xf numFmtId="0" fontId="13" fillId="3" borderId="0" xfId="0" applyFont="1" applyFill="1" applyAlignment="1" applyProtection="1">
      <alignment horizontal="center" vertical="center"/>
      <protection hidden="1"/>
    </xf>
    <xf numFmtId="165" fontId="9" fillId="0" borderId="0" xfId="0" applyNumberFormat="1" applyFont="1" applyAlignment="1" applyProtection="1">
      <alignment horizontal="center" vertical="center"/>
      <protection locked="0" hidden="1"/>
    </xf>
    <xf numFmtId="165" fontId="9" fillId="3" borderId="0" xfId="0" applyNumberFormat="1" applyFont="1" applyFill="1" applyAlignment="1" applyProtection="1">
      <alignment horizontal="center" vertical="center"/>
      <protection locked="0" hidden="1"/>
    </xf>
    <xf numFmtId="171" fontId="9" fillId="3" borderId="0" xfId="0" applyNumberFormat="1" applyFont="1" applyFill="1" applyAlignment="1" applyProtection="1">
      <alignment horizontal="center" vertical="center"/>
      <protection hidden="1"/>
    </xf>
    <xf numFmtId="168" fontId="13" fillId="3" borderId="0" xfId="0" applyNumberFormat="1" applyFont="1" applyFill="1" applyAlignment="1" applyProtection="1">
      <alignment vertical="center"/>
      <protection hidden="1"/>
    </xf>
    <xf numFmtId="0" fontId="9" fillId="0" borderId="0" xfId="0" applyFont="1" applyAlignment="1" applyProtection="1">
      <alignment horizontal="center" vertical="center"/>
      <protection locked="0" hidden="1"/>
    </xf>
    <xf numFmtId="168" fontId="0" fillId="0" borderId="0" xfId="0" applyNumberFormat="1" applyAlignment="1" applyProtection="1">
      <alignment horizontal="center" vertical="center"/>
      <protection hidden="1"/>
    </xf>
    <xf numFmtId="168" fontId="10" fillId="0" borderId="0" xfId="0" applyNumberFormat="1" applyFont="1" applyAlignment="1">
      <alignment horizontal="center" vertical="center"/>
    </xf>
    <xf numFmtId="0" fontId="10" fillId="11" borderId="51" xfId="0" applyFont="1" applyFill="1" applyBorder="1" applyAlignment="1" applyProtection="1">
      <alignment vertical="center"/>
      <protection hidden="1"/>
    </xf>
    <xf numFmtId="0" fontId="10" fillId="11" borderId="30" xfId="0" applyFont="1" applyFill="1" applyBorder="1" applyAlignment="1" applyProtection="1">
      <alignment vertical="center"/>
      <protection hidden="1"/>
    </xf>
    <xf numFmtId="165" fontId="9" fillId="0" borderId="59" xfId="0" applyNumberFormat="1" applyFont="1" applyBorder="1" applyAlignment="1" applyProtection="1">
      <alignment horizontal="center" vertical="center"/>
      <protection locked="0"/>
    </xf>
    <xf numFmtId="165" fontId="9" fillId="0" borderId="7" xfId="0" applyNumberFormat="1" applyFont="1" applyBorder="1" applyAlignment="1" applyProtection="1">
      <alignment horizontal="center" vertical="center"/>
      <protection locked="0"/>
    </xf>
    <xf numFmtId="0" fontId="9" fillId="0" borderId="63" xfId="0" applyFont="1" applyBorder="1" applyAlignment="1" applyProtection="1">
      <alignment horizontal="center" vertical="center" shrinkToFit="1"/>
      <protection locked="0"/>
    </xf>
    <xf numFmtId="0" fontId="9" fillId="0" borderId="58" xfId="0" applyFont="1" applyBorder="1" applyAlignment="1" applyProtection="1">
      <alignment horizontal="center" vertical="center"/>
      <protection locked="0"/>
    </xf>
    <xf numFmtId="165" fontId="9" fillId="0" borderId="58" xfId="0" applyNumberFormat="1" applyFont="1" applyBorder="1" applyAlignment="1" applyProtection="1">
      <alignment horizontal="center" vertical="center"/>
      <protection locked="0"/>
    </xf>
    <xf numFmtId="0" fontId="9" fillId="0" borderId="64" xfId="0" applyFont="1" applyBorder="1" applyAlignment="1" applyProtection="1">
      <alignment horizontal="center" vertical="center" shrinkToFit="1"/>
      <protection locked="0"/>
    </xf>
    <xf numFmtId="0" fontId="9" fillId="0" borderId="14" xfId="0" applyFont="1" applyBorder="1" applyAlignment="1" applyProtection="1">
      <alignment horizontal="center" vertical="center"/>
      <protection locked="0"/>
    </xf>
    <xf numFmtId="165" fontId="9" fillId="0" borderId="14" xfId="0" applyNumberFormat="1" applyFont="1" applyBorder="1" applyAlignment="1" applyProtection="1">
      <alignment horizontal="center" vertical="center"/>
      <protection locked="0"/>
    </xf>
    <xf numFmtId="164" fontId="7" fillId="0" borderId="31" xfId="0" applyNumberFormat="1" applyFont="1" applyBorder="1" applyAlignment="1" applyProtection="1">
      <alignment horizontal="right" vertical="center" indent="1" readingOrder="1"/>
      <protection locked="0" hidden="1"/>
    </xf>
    <xf numFmtId="164" fontId="7" fillId="0" borderId="7" xfId="0" applyNumberFormat="1" applyFont="1" applyBorder="1" applyAlignment="1" applyProtection="1">
      <alignment horizontal="right" vertical="center" indent="2"/>
      <protection locked="0" hidden="1"/>
    </xf>
    <xf numFmtId="0" fontId="4" fillId="2" borderId="65" xfId="0" applyFont="1" applyFill="1" applyBorder="1" applyAlignment="1" applyProtection="1">
      <alignment horizontal="center" vertical="center"/>
      <protection hidden="1"/>
    </xf>
    <xf numFmtId="0" fontId="4" fillId="2" borderId="66" xfId="0" applyFont="1" applyFill="1" applyBorder="1" applyAlignment="1" applyProtection="1">
      <alignment horizontal="center" vertical="center"/>
      <protection hidden="1"/>
    </xf>
    <xf numFmtId="0" fontId="4" fillId="2" borderId="67" xfId="0" applyFont="1" applyFill="1" applyBorder="1" applyAlignment="1" applyProtection="1">
      <alignment horizontal="center" vertical="center"/>
      <protection hidden="1"/>
    </xf>
    <xf numFmtId="0" fontId="4" fillId="2" borderId="68" xfId="0" applyFont="1" applyFill="1" applyBorder="1" applyAlignment="1" applyProtection="1">
      <alignment horizontal="center" vertical="center"/>
      <protection hidden="1"/>
    </xf>
    <xf numFmtId="1" fontId="9" fillId="0" borderId="33" xfId="0" applyNumberFormat="1" applyFont="1" applyBorder="1" applyAlignment="1" applyProtection="1">
      <alignment horizontal="center" vertical="center"/>
      <protection locked="0"/>
    </xf>
    <xf numFmtId="1" fontId="0" fillId="0" borderId="0" xfId="0" applyNumberFormat="1" applyAlignment="1" applyProtection="1">
      <alignment horizontal="center" vertical="center"/>
      <protection hidden="1"/>
    </xf>
    <xf numFmtId="0" fontId="12" fillId="0" borderId="0" xfId="0" applyFont="1" applyAlignment="1">
      <alignment horizontal="center" vertical="center"/>
    </xf>
    <xf numFmtId="0" fontId="9" fillId="0" borderId="50" xfId="0" applyFont="1" applyBorder="1" applyAlignment="1" applyProtection="1">
      <alignment horizontal="center"/>
      <protection locked="0" hidden="1"/>
    </xf>
    <xf numFmtId="0" fontId="9" fillId="0" borderId="51" xfId="0" applyFont="1" applyBorder="1" applyAlignment="1" applyProtection="1">
      <alignment horizontal="center"/>
      <protection locked="0" hidden="1"/>
    </xf>
    <xf numFmtId="0" fontId="9" fillId="3" borderId="69" xfId="0" applyFont="1" applyFill="1" applyBorder="1" applyAlignment="1" applyProtection="1">
      <alignment horizontal="center" vertical="center"/>
      <protection locked="0"/>
    </xf>
    <xf numFmtId="0" fontId="4" fillId="2" borderId="54" xfId="0" applyFont="1" applyFill="1" applyBorder="1" applyAlignment="1" applyProtection="1">
      <alignment horizontal="center" vertical="center"/>
      <protection hidden="1"/>
    </xf>
    <xf numFmtId="168" fontId="0" fillId="0" borderId="56" xfId="0" applyNumberFormat="1" applyBorder="1" applyAlignment="1" applyProtection="1">
      <alignment horizontal="center" vertical="center"/>
      <protection hidden="1"/>
    </xf>
    <xf numFmtId="168" fontId="9" fillId="0" borderId="57" xfId="0" applyNumberFormat="1" applyFont="1" applyBorder="1" applyAlignment="1" applyProtection="1">
      <alignment horizontal="center" vertical="center"/>
      <protection locked="0" hidden="1"/>
    </xf>
    <xf numFmtId="168" fontId="9" fillId="0" borderId="7" xfId="0" applyNumberFormat="1" applyFont="1" applyBorder="1" applyAlignment="1" applyProtection="1">
      <alignment horizontal="center" vertical="center"/>
      <protection locked="0" hidden="1"/>
    </xf>
    <xf numFmtId="168" fontId="9" fillId="3" borderId="17" xfId="0" applyNumberFormat="1" applyFont="1" applyFill="1" applyBorder="1" applyAlignment="1" applyProtection="1">
      <alignment horizontal="center" vertical="center"/>
      <protection hidden="1"/>
    </xf>
    <xf numFmtId="164" fontId="7" fillId="0" borderId="31" xfId="0" applyNumberFormat="1" applyFont="1" applyBorder="1" applyAlignment="1" applyProtection="1">
      <alignment horizontal="center" vertical="center" readingOrder="1"/>
      <protection locked="0" hidden="1"/>
    </xf>
    <xf numFmtId="171" fontId="9" fillId="3" borderId="7" xfId="0" applyNumberFormat="1" applyFont="1" applyFill="1" applyBorder="1" applyAlignment="1" applyProtection="1">
      <alignment horizontal="center" vertical="center"/>
      <protection hidden="1"/>
    </xf>
    <xf numFmtId="169" fontId="15" fillId="0" borderId="0" xfId="0" applyNumberFormat="1" applyFont="1" applyAlignment="1" applyProtection="1">
      <alignment horizontal="center" vertical="center"/>
      <protection hidden="1"/>
    </xf>
    <xf numFmtId="0" fontId="9" fillId="0" borderId="63" xfId="0" applyFont="1" applyBorder="1" applyAlignment="1" applyProtection="1">
      <alignment horizontal="center" vertical="center"/>
      <protection locked="0"/>
    </xf>
    <xf numFmtId="0" fontId="9" fillId="0" borderId="64" xfId="0" applyFont="1" applyBorder="1" applyAlignment="1" applyProtection="1">
      <alignment horizontal="center" vertical="center"/>
      <protection locked="0"/>
    </xf>
    <xf numFmtId="0" fontId="9" fillId="0" borderId="0" xfId="0" applyFont="1" applyAlignment="1">
      <alignment horizontal="center" vertical="center"/>
    </xf>
    <xf numFmtId="0" fontId="9" fillId="0" borderId="70" xfId="0" applyFont="1" applyBorder="1" applyAlignment="1">
      <alignment horizontal="center" vertical="center"/>
    </xf>
    <xf numFmtId="0" fontId="20" fillId="3" borderId="33" xfId="0" applyFont="1" applyFill="1" applyBorder="1" applyAlignment="1" applyProtection="1">
      <alignment horizontal="center" vertical="center"/>
      <protection locked="0" hidden="1"/>
    </xf>
    <xf numFmtId="0" fontId="12" fillId="0" borderId="7" xfId="0" applyFont="1" applyBorder="1" applyAlignment="1" applyProtection="1">
      <alignment horizontal="center" vertical="center"/>
      <protection locked="0" hidden="1"/>
    </xf>
    <xf numFmtId="0" fontId="19" fillId="15" borderId="41" xfId="0" applyFont="1" applyFill="1" applyBorder="1" applyAlignment="1" applyProtection="1">
      <alignment horizontal="center" vertical="center"/>
      <protection hidden="1"/>
    </xf>
    <xf numFmtId="0" fontId="12" fillId="15" borderId="74" xfId="0" applyFont="1" applyFill="1" applyBorder="1" applyAlignment="1" applyProtection="1">
      <alignment horizontal="center" vertical="center"/>
      <protection hidden="1"/>
    </xf>
    <xf numFmtId="0" fontId="7" fillId="0" borderId="8" xfId="0" applyFont="1" applyBorder="1" applyAlignment="1" applyProtection="1">
      <alignment horizontal="center" vertical="center" shrinkToFit="1"/>
      <protection hidden="1"/>
    </xf>
    <xf numFmtId="0" fontId="8" fillId="0" borderId="0" xfId="0" applyFont="1" applyAlignment="1">
      <alignment horizontal="center" vertical="center"/>
    </xf>
    <xf numFmtId="171" fontId="9" fillId="3" borderId="8" xfId="0" applyNumberFormat="1" applyFont="1" applyFill="1" applyBorder="1" applyAlignment="1" applyProtection="1">
      <alignment horizontal="center" vertical="center" shrinkToFit="1"/>
      <protection hidden="1"/>
    </xf>
    <xf numFmtId="0" fontId="4" fillId="2" borderId="75" xfId="0" applyFont="1" applyFill="1" applyBorder="1" applyAlignment="1" applyProtection="1">
      <alignment horizontal="right" vertical="center" indent="3" readingOrder="2"/>
      <protection locked="0" hidden="1"/>
    </xf>
    <xf numFmtId="0" fontId="12" fillId="0" borderId="0" xfId="0" quotePrefix="1" applyFont="1" applyAlignment="1" applyProtection="1">
      <alignment horizontal="center" vertical="center"/>
      <protection hidden="1"/>
    </xf>
    <xf numFmtId="0" fontId="21" fillId="16" borderId="72" xfId="0" applyFont="1" applyFill="1" applyBorder="1" applyAlignment="1">
      <alignment horizontal="center" vertical="center"/>
    </xf>
    <xf numFmtId="0" fontId="21" fillId="16" borderId="51" xfId="0" applyFont="1" applyFill="1" applyBorder="1" applyAlignment="1">
      <alignment horizontal="center" vertical="center"/>
    </xf>
    <xf numFmtId="0" fontId="21" fillId="3" borderId="72" xfId="0" applyFont="1" applyFill="1" applyBorder="1" applyAlignment="1">
      <alignment horizontal="center" vertical="center"/>
    </xf>
    <xf numFmtId="0" fontId="21" fillId="3" borderId="51" xfId="0" applyFont="1" applyFill="1" applyBorder="1" applyAlignment="1">
      <alignment horizontal="center" vertical="center"/>
    </xf>
    <xf numFmtId="0" fontId="21" fillId="3" borderId="2" xfId="0" applyFont="1" applyFill="1" applyBorder="1" applyAlignment="1">
      <alignment horizontal="center" vertical="center" shrinkToFit="1"/>
    </xf>
    <xf numFmtId="0" fontId="21" fillId="16" borderId="8" xfId="0" applyFont="1" applyFill="1" applyBorder="1" applyAlignment="1">
      <alignment horizontal="center" vertical="center"/>
    </xf>
    <xf numFmtId="166" fontId="0" fillId="0" borderId="0" xfId="0" applyNumberFormat="1" applyAlignment="1">
      <alignment horizontal="center" vertical="center"/>
    </xf>
    <xf numFmtId="165" fontId="0" fillId="0" borderId="0" xfId="0" applyNumberFormat="1" applyAlignment="1" applyProtection="1">
      <alignment horizontal="center" vertical="center"/>
      <protection locked="0"/>
    </xf>
    <xf numFmtId="165" fontId="4" fillId="0" borderId="0" xfId="0" applyNumberFormat="1" applyFont="1" applyAlignment="1">
      <alignment horizontal="center" vertical="center"/>
    </xf>
    <xf numFmtId="0" fontId="7" fillId="0" borderId="70" xfId="0" applyFont="1" applyBorder="1" applyAlignment="1">
      <alignment horizontal="center" vertical="center"/>
    </xf>
    <xf numFmtId="0" fontId="0" fillId="0" borderId="70" xfId="0" applyBorder="1" applyAlignment="1">
      <alignment horizontal="center" vertical="center" readingOrder="2"/>
    </xf>
    <xf numFmtId="166" fontId="0" fillId="0" borderId="70" xfId="0" applyNumberFormat="1" applyBorder="1" applyAlignment="1">
      <alignment horizontal="center" vertical="center"/>
    </xf>
    <xf numFmtId="0" fontId="7" fillId="3" borderId="77"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78"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center" vertical="center" readingOrder="2"/>
    </xf>
    <xf numFmtId="0" fontId="7" fillId="0" borderId="9" xfId="0" applyFont="1" applyBorder="1" applyAlignment="1">
      <alignment horizontal="center" vertical="center"/>
    </xf>
    <xf numFmtId="166" fontId="0" fillId="0" borderId="73" xfId="0" applyNumberFormat="1" applyBorder="1" applyAlignment="1">
      <alignment horizontal="center" vertical="center"/>
    </xf>
    <xf numFmtId="166" fontId="0" fillId="0" borderId="10" xfId="0" applyNumberFormat="1" applyBorder="1" applyAlignment="1">
      <alignment horizontal="center" vertical="center"/>
    </xf>
    <xf numFmtId="0" fontId="0" fillId="0" borderId="0" xfId="0" applyProtection="1">
      <protection locked="0"/>
    </xf>
    <xf numFmtId="1" fontId="0" fillId="0" borderId="0" xfId="0" applyNumberFormat="1" applyAlignment="1">
      <alignment horizontal="center" vertical="center" readingOrder="2"/>
    </xf>
    <xf numFmtId="0" fontId="0" fillId="0" borderId="0" xfId="0" applyAlignment="1">
      <alignment horizontal="center" vertical="center" wrapText="1" readingOrder="2"/>
    </xf>
    <xf numFmtId="0" fontId="9" fillId="0" borderId="0" xfId="0" applyFont="1" applyAlignment="1">
      <alignment horizontal="center" vertical="center" readingOrder="2"/>
    </xf>
    <xf numFmtId="1" fontId="0" fillId="0" borderId="0" xfId="0" applyNumberFormat="1" applyAlignment="1">
      <alignment horizontal="center" vertical="center"/>
    </xf>
    <xf numFmtId="0" fontId="7" fillId="0" borderId="0" xfId="0" applyFont="1" applyAlignment="1">
      <alignment horizontal="center" vertical="center" readingOrder="2"/>
    </xf>
    <xf numFmtId="166" fontId="0" fillId="0" borderId="7" xfId="0" applyNumberFormat="1" applyBorder="1" applyAlignment="1">
      <alignment horizontal="center" vertical="center"/>
    </xf>
    <xf numFmtId="0" fontId="7" fillId="0" borderId="71" xfId="0" applyFont="1" applyBorder="1" applyAlignment="1">
      <alignment horizontal="center" vertical="center"/>
    </xf>
    <xf numFmtId="1" fontId="7" fillId="0" borderId="0" xfId="0" applyNumberFormat="1" applyFont="1" applyAlignment="1">
      <alignment horizontal="center" vertical="center"/>
    </xf>
    <xf numFmtId="0" fontId="0" fillId="0" borderId="10" xfId="0" applyBorder="1" applyAlignment="1">
      <alignment horizontal="center" vertical="center"/>
    </xf>
    <xf numFmtId="1" fontId="7" fillId="0" borderId="9" xfId="0" applyNumberFormat="1" applyFont="1" applyBorder="1" applyAlignment="1">
      <alignment horizontal="center" vertical="center"/>
    </xf>
    <xf numFmtId="0" fontId="7" fillId="0" borderId="31" xfId="0" applyFont="1" applyBorder="1" applyAlignment="1">
      <alignment horizontal="center" vertical="center"/>
    </xf>
    <xf numFmtId="0" fontId="9" fillId="0" borderId="8" xfId="0" applyFont="1" applyBorder="1" applyAlignment="1">
      <alignment horizontal="center" vertical="center" readingOrder="2"/>
    </xf>
    <xf numFmtId="0" fontId="22" fillId="17" borderId="51" xfId="0" applyFont="1" applyFill="1" applyBorder="1" applyAlignment="1" applyProtection="1">
      <alignment vertical="center"/>
      <protection hidden="1"/>
    </xf>
    <xf numFmtId="173" fontId="0" fillId="8" borderId="79" xfId="0" applyNumberFormat="1" applyFill="1" applyBorder="1" applyAlignment="1" applyProtection="1">
      <alignment horizontal="center" vertical="center" readingOrder="2"/>
      <protection hidden="1"/>
    </xf>
    <xf numFmtId="0" fontId="0" fillId="0" borderId="31" xfId="0" applyBorder="1" applyAlignment="1">
      <alignment horizontal="center" vertical="center" shrinkToFit="1"/>
    </xf>
    <xf numFmtId="166" fontId="4" fillId="0" borderId="7" xfId="0" applyNumberFormat="1" applyFont="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4" fillId="0" borderId="30" xfId="0" applyFont="1" applyBorder="1" applyAlignment="1" applyProtection="1">
      <alignment horizontal="center" vertical="center" shrinkToFit="1"/>
      <protection locked="0"/>
    </xf>
    <xf numFmtId="0" fontId="0" fillId="0" borderId="9" xfId="0" applyBorder="1" applyAlignment="1">
      <alignment horizontal="center" vertical="center" shrinkToFit="1"/>
    </xf>
    <xf numFmtId="0" fontId="4" fillId="0" borderId="0" xfId="0" applyFont="1" applyAlignment="1">
      <alignment horizontal="center" vertical="center" shrinkToFit="1"/>
    </xf>
    <xf numFmtId="0" fontId="0" fillId="0" borderId="80" xfId="0" applyBorder="1" applyAlignment="1">
      <alignment horizontal="center" vertical="center" shrinkToFit="1"/>
    </xf>
    <xf numFmtId="0" fontId="0" fillId="0" borderId="81" xfId="0" applyBorder="1" applyAlignment="1">
      <alignment horizontal="center" vertical="center" shrinkToFit="1"/>
    </xf>
    <xf numFmtId="0" fontId="4" fillId="5" borderId="3" xfId="0" applyFont="1" applyFill="1" applyBorder="1" applyAlignment="1" applyProtection="1">
      <alignment horizontal="center" vertical="center" shrinkToFit="1"/>
      <protection hidden="1"/>
    </xf>
    <xf numFmtId="0" fontId="4" fillId="2" borderId="32" xfId="0" applyFont="1" applyFill="1" applyBorder="1" applyAlignment="1" applyProtection="1">
      <alignment horizontal="center" vertical="center" shrinkToFit="1"/>
      <protection hidden="1"/>
    </xf>
    <xf numFmtId="0" fontId="0" fillId="0" borderId="10" xfId="0" applyBorder="1" applyAlignment="1">
      <alignment horizontal="center" vertical="center" shrinkToFit="1"/>
    </xf>
    <xf numFmtId="3" fontId="7" fillId="0" borderId="33" xfId="0" applyNumberFormat="1" applyFont="1" applyBorder="1" applyAlignment="1" applyProtection="1">
      <alignment horizontal="center" vertical="center" shrinkToFit="1"/>
      <protection locked="0"/>
    </xf>
    <xf numFmtId="44" fontId="0" fillId="0" borderId="0" xfId="0" applyNumberFormat="1" applyAlignment="1">
      <alignment horizontal="center" vertical="center" shrinkToFit="1"/>
    </xf>
    <xf numFmtId="0" fontId="24" fillId="10" borderId="9" xfId="0" applyFont="1" applyFill="1" applyBorder="1" applyAlignment="1" applyProtection="1">
      <alignment horizontal="center" vertical="center" shrinkToFit="1"/>
      <protection hidden="1"/>
    </xf>
    <xf numFmtId="0" fontId="7" fillId="10" borderId="10" xfId="0" applyFont="1" applyFill="1" applyBorder="1" applyAlignment="1" applyProtection="1">
      <alignment horizontal="center" vertical="center" shrinkToFit="1"/>
      <protection hidden="1"/>
    </xf>
    <xf numFmtId="164" fontId="7" fillId="0" borderId="31" xfId="0" applyNumberFormat="1" applyFont="1" applyBorder="1" applyAlignment="1" applyProtection="1">
      <alignment horizontal="center" vertical="center" shrinkToFit="1" readingOrder="1"/>
      <protection hidden="1"/>
    </xf>
    <xf numFmtId="0" fontId="4" fillId="2" borderId="35" xfId="0" applyFont="1" applyFill="1" applyBorder="1" applyAlignment="1" applyProtection="1">
      <alignment horizontal="center" vertical="center" shrinkToFit="1"/>
      <protection hidden="1"/>
    </xf>
    <xf numFmtId="0" fontId="4" fillId="2" borderId="36" xfId="0" applyFont="1" applyFill="1" applyBorder="1" applyAlignment="1" applyProtection="1">
      <alignment horizontal="center" vertical="center" shrinkToFit="1"/>
      <protection hidden="1"/>
    </xf>
    <xf numFmtId="0" fontId="4" fillId="2" borderId="37" xfId="0" applyFont="1" applyFill="1" applyBorder="1" applyAlignment="1" applyProtection="1">
      <alignment horizontal="center" vertical="center" shrinkToFit="1"/>
      <protection hidden="1"/>
    </xf>
    <xf numFmtId="0" fontId="4" fillId="2" borderId="38" xfId="0" applyFont="1" applyFill="1" applyBorder="1" applyAlignment="1" applyProtection="1">
      <alignment horizontal="center" vertical="center" shrinkToFit="1"/>
      <protection hidden="1"/>
    </xf>
    <xf numFmtId="1" fontId="9" fillId="0" borderId="33" xfId="0" applyNumberFormat="1" applyFont="1" applyBorder="1" applyAlignment="1" applyProtection="1">
      <alignment horizontal="center" vertical="center" shrinkToFit="1"/>
      <protection hidden="1"/>
    </xf>
    <xf numFmtId="0" fontId="13" fillId="0" borderId="39" xfId="0" applyFont="1" applyBorder="1" applyAlignment="1" applyProtection="1">
      <alignment horizontal="center" vertical="center" shrinkToFit="1"/>
      <protection locked="0" hidden="1"/>
    </xf>
    <xf numFmtId="0" fontId="13" fillId="0" borderId="14" xfId="0" applyFont="1" applyBorder="1" applyAlignment="1" applyProtection="1">
      <alignment horizontal="center" vertical="center" shrinkToFit="1"/>
      <protection locked="0" hidden="1"/>
    </xf>
    <xf numFmtId="168" fontId="9" fillId="0" borderId="14" xfId="0" applyNumberFormat="1" applyFont="1" applyBorder="1" applyAlignment="1" applyProtection="1">
      <alignment horizontal="center" vertical="center" shrinkToFit="1"/>
      <protection locked="0" hidden="1"/>
    </xf>
    <xf numFmtId="1" fontId="9" fillId="3" borderId="7" xfId="0" applyNumberFormat="1" applyFont="1" applyFill="1" applyBorder="1" applyAlignment="1" applyProtection="1">
      <alignment horizontal="center" vertical="center" shrinkToFit="1"/>
      <protection hidden="1"/>
    </xf>
    <xf numFmtId="168" fontId="13" fillId="3" borderId="40" xfId="0" applyNumberFormat="1" applyFont="1" applyFill="1" applyBorder="1" applyAlignment="1" applyProtection="1">
      <alignment horizontal="center" vertical="center" shrinkToFit="1"/>
      <protection hidden="1"/>
    </xf>
    <xf numFmtId="168" fontId="13" fillId="0" borderId="0" xfId="0" applyNumberFormat="1" applyFont="1" applyAlignment="1" applyProtection="1">
      <alignment horizontal="center" vertical="center" shrinkToFit="1"/>
      <protection hidden="1"/>
    </xf>
    <xf numFmtId="0" fontId="7" fillId="2" borderId="31" xfId="0" applyFont="1" applyFill="1" applyBorder="1" applyAlignment="1" applyProtection="1">
      <alignment horizontal="center" vertical="center" shrinkToFit="1"/>
      <protection hidden="1"/>
    </xf>
    <xf numFmtId="0" fontId="7" fillId="2" borderId="7" xfId="0" applyFont="1" applyFill="1" applyBorder="1" applyAlignment="1" applyProtection="1">
      <alignment horizontal="center" vertical="center" shrinkToFit="1"/>
      <protection hidden="1"/>
    </xf>
    <xf numFmtId="165" fontId="4" fillId="3" borderId="65" xfId="0" applyNumberFormat="1" applyFont="1" applyFill="1" applyBorder="1" applyAlignment="1">
      <alignment horizontal="center" vertical="center" shrinkToFit="1"/>
    </xf>
    <xf numFmtId="0" fontId="4" fillId="3" borderId="10" xfId="0" applyFont="1" applyFill="1" applyBorder="1" applyAlignment="1">
      <alignment horizontal="center" vertical="center" shrinkToFit="1"/>
    </xf>
    <xf numFmtId="0" fontId="0" fillId="0" borderId="7" xfId="0" applyBorder="1" applyAlignment="1">
      <alignment horizontal="center" vertical="center" shrinkToFit="1"/>
    </xf>
    <xf numFmtId="0" fontId="4" fillId="3" borderId="41" xfId="0" applyFont="1" applyFill="1" applyBorder="1" applyAlignment="1" applyProtection="1">
      <alignment horizontal="center" vertical="center" shrinkToFit="1"/>
      <protection hidden="1"/>
    </xf>
    <xf numFmtId="0" fontId="4" fillId="3" borderId="42" xfId="0" applyFont="1" applyFill="1" applyBorder="1" applyAlignment="1" applyProtection="1">
      <alignment horizontal="center" vertical="center" shrinkToFit="1"/>
      <protection hidden="1"/>
    </xf>
    <xf numFmtId="0" fontId="4" fillId="3" borderId="82" xfId="0" applyFont="1" applyFill="1" applyBorder="1" applyAlignment="1" applyProtection="1">
      <alignment horizontal="center" vertical="center" shrinkToFit="1"/>
      <protection hidden="1"/>
    </xf>
    <xf numFmtId="0" fontId="4" fillId="3" borderId="83" xfId="0" applyFont="1" applyFill="1" applyBorder="1" applyAlignment="1" applyProtection="1">
      <alignment horizontal="center" vertical="center" shrinkToFit="1"/>
      <protection hidden="1"/>
    </xf>
    <xf numFmtId="1" fontId="9" fillId="0" borderId="33" xfId="0" applyNumberFormat="1" applyFont="1" applyBorder="1" applyAlignment="1" applyProtection="1">
      <alignment horizontal="center" vertical="center" shrinkToFit="1"/>
      <protection locked="0" hidden="1"/>
    </xf>
    <xf numFmtId="1" fontId="9" fillId="0" borderId="7" xfId="0" applyNumberFormat="1" applyFont="1" applyBorder="1" applyAlignment="1" applyProtection="1">
      <alignment horizontal="center" vertical="center" shrinkToFit="1"/>
      <protection locked="0" hidden="1"/>
    </xf>
    <xf numFmtId="0" fontId="13" fillId="3" borderId="33" xfId="0" applyFont="1" applyFill="1" applyBorder="1" applyAlignment="1" applyProtection="1">
      <alignment horizontal="center" vertical="center" shrinkToFit="1"/>
      <protection hidden="1"/>
    </xf>
    <xf numFmtId="0" fontId="13" fillId="3" borderId="14" xfId="0" applyFont="1" applyFill="1" applyBorder="1" applyAlignment="1" applyProtection="1">
      <alignment horizontal="center" vertical="center" shrinkToFit="1"/>
      <protection hidden="1"/>
    </xf>
    <xf numFmtId="0" fontId="13" fillId="3" borderId="7" xfId="0" applyFont="1" applyFill="1" applyBorder="1" applyAlignment="1" applyProtection="1">
      <alignment horizontal="center" vertical="center" shrinkToFit="1"/>
      <protection hidden="1"/>
    </xf>
    <xf numFmtId="165" fontId="9" fillId="0" borderId="14" xfId="0" applyNumberFormat="1" applyFont="1" applyBorder="1" applyAlignment="1" applyProtection="1">
      <alignment horizontal="center" vertical="center" shrinkToFit="1"/>
      <protection locked="0" hidden="1"/>
    </xf>
    <xf numFmtId="168" fontId="9" fillId="3" borderId="7" xfId="0" applyNumberFormat="1" applyFont="1" applyFill="1" applyBorder="1" applyAlignment="1" applyProtection="1">
      <alignment horizontal="center" vertical="center" shrinkToFit="1"/>
      <protection hidden="1"/>
    </xf>
    <xf numFmtId="0" fontId="4" fillId="2" borderId="3" xfId="0" applyFont="1" applyFill="1" applyBorder="1" applyAlignment="1" applyProtection="1">
      <alignment horizontal="center" vertical="center" shrinkToFit="1"/>
      <protection hidden="1"/>
    </xf>
    <xf numFmtId="0" fontId="4" fillId="2" borderId="23" xfId="0" applyFont="1" applyFill="1" applyBorder="1" applyAlignment="1" applyProtection="1">
      <alignment horizontal="center" vertical="center" shrinkToFit="1"/>
      <protection hidden="1"/>
    </xf>
    <xf numFmtId="0" fontId="4" fillId="2" borderId="24" xfId="0" applyFont="1" applyFill="1" applyBorder="1" applyAlignment="1" applyProtection="1">
      <alignment horizontal="center" vertical="center" shrinkToFit="1"/>
      <protection hidden="1"/>
    </xf>
    <xf numFmtId="0" fontId="4" fillId="2" borderId="25" xfId="0" applyFont="1" applyFill="1" applyBorder="1" applyAlignment="1" applyProtection="1">
      <alignment horizontal="center" vertical="center" shrinkToFit="1"/>
      <protection hidden="1"/>
    </xf>
    <xf numFmtId="0" fontId="0" fillId="2" borderId="25" xfId="0" applyFill="1" applyBorder="1" applyAlignment="1" applyProtection="1">
      <alignment horizontal="center" vertical="center" shrinkToFit="1"/>
      <protection hidden="1"/>
    </xf>
    <xf numFmtId="0" fontId="4" fillId="2" borderId="46" xfId="0" applyFont="1" applyFill="1" applyBorder="1" applyAlignment="1" applyProtection="1">
      <alignment horizontal="center" vertical="center" shrinkToFit="1"/>
      <protection hidden="1"/>
    </xf>
    <xf numFmtId="0" fontId="13" fillId="0" borderId="33" xfId="0" applyFont="1" applyBorder="1" applyAlignment="1" applyProtection="1">
      <alignment horizontal="center" vertical="center" shrinkToFit="1"/>
      <protection locked="0" hidden="1"/>
    </xf>
    <xf numFmtId="0" fontId="13" fillId="0" borderId="7" xfId="0" applyFont="1" applyBorder="1" applyAlignment="1" applyProtection="1">
      <alignment horizontal="center" vertical="center" shrinkToFit="1"/>
      <protection locked="0" hidden="1"/>
    </xf>
    <xf numFmtId="1" fontId="9" fillId="3" borderId="8" xfId="0" applyNumberFormat="1" applyFont="1" applyFill="1" applyBorder="1" applyAlignment="1" applyProtection="1">
      <alignment horizontal="center" vertical="center" shrinkToFit="1"/>
      <protection hidden="1"/>
    </xf>
    <xf numFmtId="168" fontId="9" fillId="0" borderId="47" xfId="0" applyNumberFormat="1" applyFont="1" applyBorder="1" applyAlignment="1" applyProtection="1">
      <alignment horizontal="center" vertical="center" shrinkToFit="1"/>
      <protection locked="0" hidden="1"/>
    </xf>
    <xf numFmtId="165" fontId="9" fillId="3" borderId="8" xfId="0" applyNumberFormat="1" applyFont="1" applyFill="1" applyBorder="1" applyAlignment="1" applyProtection="1">
      <alignment horizontal="center" vertical="center" shrinkToFit="1"/>
      <protection hidden="1"/>
    </xf>
    <xf numFmtId="165" fontId="9" fillId="3" borderId="33" xfId="0" applyNumberFormat="1" applyFont="1" applyFill="1" applyBorder="1" applyAlignment="1" applyProtection="1">
      <alignment horizontal="center" vertical="center" shrinkToFit="1"/>
      <protection hidden="1"/>
    </xf>
    <xf numFmtId="14" fontId="9" fillId="3" borderId="19" xfId="0" applyNumberFormat="1" applyFont="1" applyFill="1" applyBorder="1" applyAlignment="1" applyProtection="1">
      <alignment horizontal="center" vertical="center" shrinkToFit="1"/>
      <protection hidden="1"/>
    </xf>
    <xf numFmtId="168" fontId="13" fillId="3" borderId="47" xfId="0" applyNumberFormat="1" applyFont="1" applyFill="1" applyBorder="1" applyAlignment="1" applyProtection="1">
      <alignment horizontal="center" vertical="center" shrinkToFit="1"/>
      <protection hidden="1"/>
    </xf>
    <xf numFmtId="0" fontId="0" fillId="3" borderId="28" xfId="0" applyFill="1" applyBorder="1" applyAlignment="1" applyProtection="1">
      <alignment horizontal="center" vertical="center" shrinkToFit="1"/>
      <protection hidden="1"/>
    </xf>
    <xf numFmtId="0" fontId="0" fillId="3" borderId="46" xfId="0" applyFill="1" applyBorder="1" applyAlignment="1" applyProtection="1">
      <alignment horizontal="center" vertical="center" shrinkToFit="1"/>
      <protection hidden="1"/>
    </xf>
    <xf numFmtId="0" fontId="0" fillId="0" borderId="63" xfId="0" applyBorder="1" applyAlignment="1">
      <alignment horizontal="center" vertical="center" shrinkToFit="1"/>
    </xf>
    <xf numFmtId="166" fontId="4" fillId="0" borderId="59" xfId="0" applyNumberFormat="1" applyFont="1" applyBorder="1" applyAlignment="1" applyProtection="1">
      <alignment horizontal="center" vertical="center" shrinkToFit="1"/>
      <protection hidden="1"/>
    </xf>
    <xf numFmtId="0" fontId="0" fillId="0" borderId="84" xfId="0" applyBorder="1" applyAlignment="1">
      <alignment horizontal="center" vertical="center" shrinkToFit="1"/>
    </xf>
    <xf numFmtId="166" fontId="4" fillId="0" borderId="85" xfId="0" applyNumberFormat="1" applyFont="1" applyBorder="1" applyAlignment="1" applyProtection="1">
      <alignment horizontal="center" vertical="center" shrinkToFit="1"/>
      <protection hidden="1"/>
    </xf>
    <xf numFmtId="0" fontId="0" fillId="3" borderId="86" xfId="0" applyFill="1" applyBorder="1" applyAlignment="1" applyProtection="1">
      <alignment horizontal="center" vertical="center" shrinkToFit="1"/>
      <protection hidden="1"/>
    </xf>
    <xf numFmtId="166" fontId="0" fillId="3" borderId="87" xfId="0" applyNumberFormat="1" applyFill="1" applyBorder="1" applyAlignment="1" applyProtection="1">
      <alignment horizontal="center" vertical="center" shrinkToFit="1"/>
      <protection locked="0" hidden="1"/>
    </xf>
    <xf numFmtId="0" fontId="4" fillId="2" borderId="44" xfId="0" applyFont="1" applyFill="1" applyBorder="1" applyAlignment="1" applyProtection="1">
      <alignment horizontal="center" vertical="center" shrinkToFit="1"/>
      <protection hidden="1"/>
    </xf>
    <xf numFmtId="0" fontId="4" fillId="2" borderId="42" xfId="0" applyFont="1" applyFill="1" applyBorder="1" applyAlignment="1" applyProtection="1">
      <alignment horizontal="center" vertical="center" shrinkToFit="1"/>
      <protection hidden="1"/>
    </xf>
    <xf numFmtId="0" fontId="4" fillId="0" borderId="58" xfId="0" applyFont="1" applyBorder="1" applyAlignment="1" applyProtection="1">
      <alignment horizontal="center" vertical="center" shrinkToFit="1"/>
      <protection locked="0"/>
    </xf>
    <xf numFmtId="165" fontId="7" fillId="0" borderId="59" xfId="0" applyNumberFormat="1" applyFont="1" applyBorder="1" applyAlignment="1" applyProtection="1">
      <alignment horizontal="center" vertical="center" shrinkToFit="1"/>
      <protection locked="0"/>
    </xf>
    <xf numFmtId="165" fontId="7" fillId="0" borderId="7" xfId="0" applyNumberFormat="1" applyFont="1" applyBorder="1" applyAlignment="1" applyProtection="1">
      <alignment horizontal="center" vertical="center" shrinkToFit="1"/>
      <protection locked="0"/>
    </xf>
    <xf numFmtId="0" fontId="4" fillId="0" borderId="14" xfId="0" applyFont="1" applyBorder="1" applyAlignment="1" applyProtection="1">
      <alignment horizontal="right" vertical="center" indent="1" shrinkToFit="1"/>
      <protection locked="0"/>
    </xf>
    <xf numFmtId="171" fontId="0" fillId="0" borderId="0" xfId="0" applyNumberFormat="1" applyAlignment="1">
      <alignment horizontal="center" vertical="center" shrinkToFit="1"/>
    </xf>
    <xf numFmtId="164" fontId="7" fillId="0" borderId="7" xfId="0" applyNumberFormat="1" applyFont="1" applyBorder="1" applyAlignment="1" applyProtection="1">
      <alignment horizontal="right" vertical="center" indent="2" shrinkToFit="1"/>
      <protection hidden="1"/>
    </xf>
    <xf numFmtId="164" fontId="7" fillId="0" borderId="7" xfId="0" applyNumberFormat="1" applyFont="1" applyBorder="1" applyAlignment="1" applyProtection="1">
      <alignment horizontal="right" vertical="center" indent="3"/>
      <protection locked="0" hidden="1"/>
    </xf>
    <xf numFmtId="0" fontId="0" fillId="0" borderId="0" xfId="0" applyAlignment="1" applyProtection="1">
      <alignment horizontal="center" vertical="center"/>
      <protection locked="0" hidden="1"/>
    </xf>
    <xf numFmtId="0" fontId="19" fillId="14" borderId="0" xfId="0" applyFont="1" applyFill="1" applyAlignment="1" applyProtection="1">
      <alignment horizontal="center" vertical="center"/>
      <protection locked="0" hidden="1"/>
    </xf>
    <xf numFmtId="0" fontId="19" fillId="14" borderId="10" xfId="0"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4" fontId="0" fillId="0" borderId="0" xfId="0" applyNumberFormat="1" applyAlignment="1" applyProtection="1">
      <alignment horizontal="center" vertical="center"/>
      <protection locked="0" hidden="1"/>
    </xf>
    <xf numFmtId="165" fontId="4" fillId="0" borderId="10" xfId="0" applyNumberFormat="1" applyFont="1" applyBorder="1" applyAlignment="1" applyProtection="1">
      <alignment horizontal="center" vertical="center"/>
      <protection locked="0" hidden="1"/>
    </xf>
    <xf numFmtId="0" fontId="8" fillId="7" borderId="72" xfId="0" applyFont="1" applyFill="1" applyBorder="1" applyAlignment="1" applyProtection="1">
      <alignment horizontal="center" vertical="center"/>
      <protection hidden="1"/>
    </xf>
    <xf numFmtId="0" fontId="8" fillId="7" borderId="51" xfId="0" applyFont="1" applyFill="1" applyBorder="1" applyAlignment="1" applyProtection="1">
      <alignment horizontal="center" vertical="center"/>
      <protection hidden="1"/>
    </xf>
    <xf numFmtId="0" fontId="8" fillId="7" borderId="30" xfId="0" applyFont="1" applyFill="1" applyBorder="1" applyAlignment="1" applyProtection="1">
      <alignment horizontal="center" vertical="center"/>
      <protection hidden="1"/>
    </xf>
    <xf numFmtId="0" fontId="18" fillId="13" borderId="72" xfId="0" applyFont="1" applyFill="1" applyBorder="1" applyAlignment="1" applyProtection="1">
      <alignment horizontal="center" vertical="center"/>
      <protection locked="0" hidden="1"/>
    </xf>
    <xf numFmtId="0" fontId="18" fillId="13" borderId="51" xfId="0" applyFont="1" applyFill="1" applyBorder="1" applyAlignment="1" applyProtection="1">
      <alignment horizontal="center" vertical="center"/>
      <protection locked="0" hidden="1"/>
    </xf>
    <xf numFmtId="0" fontId="18" fillId="13" borderId="30" xfId="0" applyFont="1" applyFill="1" applyBorder="1" applyAlignment="1" applyProtection="1">
      <alignment horizontal="center" vertical="center"/>
      <protection locked="0" hidden="1"/>
    </xf>
    <xf numFmtId="0" fontId="13" fillId="0" borderId="0" xfId="0" applyFont="1" applyAlignment="1" applyProtection="1">
      <alignment horizontal="center" vertical="center"/>
      <protection locked="0" hidden="1"/>
    </xf>
    <xf numFmtId="168" fontId="9" fillId="0" borderId="0" xfId="0" applyNumberFormat="1" applyFont="1" applyAlignment="1" applyProtection="1">
      <alignment horizontal="center" vertical="center"/>
      <protection locked="0" hidden="1"/>
    </xf>
    <xf numFmtId="0" fontId="13" fillId="0" borderId="142" xfId="0" applyFont="1" applyBorder="1" applyAlignment="1" applyProtection="1">
      <alignment horizontal="center" vertical="center"/>
      <protection locked="0" hidden="1"/>
    </xf>
    <xf numFmtId="0" fontId="9" fillId="0" borderId="142" xfId="0" applyFont="1" applyBorder="1" applyAlignment="1" applyProtection="1">
      <alignment horizontal="center" vertical="center"/>
      <protection locked="0" hidden="1"/>
    </xf>
    <xf numFmtId="168" fontId="9" fillId="0" borderId="142" xfId="0" applyNumberFormat="1" applyFont="1" applyBorder="1" applyAlignment="1" applyProtection="1">
      <alignment horizontal="center" vertical="center"/>
      <protection locked="0" hidden="1"/>
    </xf>
    <xf numFmtId="0" fontId="18" fillId="13" borderId="0" xfId="0" applyFont="1" applyFill="1" applyAlignment="1" applyProtection="1">
      <alignment horizontal="center" vertical="center"/>
      <protection locked="0" hidden="1"/>
    </xf>
    <xf numFmtId="0" fontId="13" fillId="12" borderId="71" xfId="0" applyFont="1" applyFill="1" applyBorder="1" applyAlignment="1" applyProtection="1">
      <alignment horizontal="center" vertical="center"/>
      <protection locked="0" hidden="1"/>
    </xf>
    <xf numFmtId="165" fontId="9" fillId="12" borderId="73" xfId="0" applyNumberFormat="1" applyFont="1" applyFill="1" applyBorder="1" applyAlignment="1" applyProtection="1">
      <alignment horizontal="center" vertical="center"/>
      <protection locked="0" hidden="1"/>
    </xf>
    <xf numFmtId="0" fontId="13" fillId="12" borderId="71" xfId="0" applyFont="1" applyFill="1" applyBorder="1" applyAlignment="1" applyProtection="1">
      <alignment horizontal="center" vertical="center" readingOrder="2"/>
      <protection locked="0" hidden="1"/>
    </xf>
    <xf numFmtId="0" fontId="13" fillId="12" borderId="9" xfId="0" applyFont="1" applyFill="1" applyBorder="1" applyAlignment="1" applyProtection="1">
      <alignment horizontal="center" vertical="center"/>
      <protection locked="0" hidden="1"/>
    </xf>
    <xf numFmtId="165" fontId="9" fillId="12" borderId="144" xfId="0" applyNumberFormat="1" applyFont="1" applyFill="1" applyBorder="1" applyAlignment="1" applyProtection="1">
      <alignment horizontal="center" vertical="center"/>
      <protection locked="0" hidden="1"/>
    </xf>
    <xf numFmtId="165" fontId="9" fillId="0" borderId="142" xfId="0" applyNumberFormat="1" applyFont="1" applyBorder="1" applyAlignment="1" applyProtection="1">
      <alignment horizontal="center" vertical="center"/>
      <protection locked="0" hidden="1"/>
    </xf>
    <xf numFmtId="0" fontId="13" fillId="0" borderId="142" xfId="0" applyFont="1" applyBorder="1" applyAlignment="1" applyProtection="1">
      <alignment horizontal="center" vertical="center" readingOrder="2"/>
      <protection locked="0" hidden="1"/>
    </xf>
    <xf numFmtId="0" fontId="13" fillId="0" borderId="145" xfId="0" applyFont="1" applyBorder="1" applyAlignment="1" applyProtection="1">
      <alignment horizontal="center" vertical="center"/>
      <protection locked="0" hidden="1"/>
    </xf>
    <xf numFmtId="0" fontId="13" fillId="0" borderId="9" xfId="0" applyFont="1" applyBorder="1" applyAlignment="1" applyProtection="1">
      <alignment horizontal="center" vertical="center"/>
      <protection locked="0" hidden="1"/>
    </xf>
    <xf numFmtId="0" fontId="18" fillId="13" borderId="8" xfId="0" applyFont="1" applyFill="1" applyBorder="1" applyAlignment="1" applyProtection="1">
      <alignment horizontal="center" vertical="center"/>
      <protection locked="0" hidden="1"/>
    </xf>
    <xf numFmtId="0" fontId="18" fillId="13" borderId="31" xfId="0" applyFont="1" applyFill="1" applyBorder="1" applyAlignment="1" applyProtection="1">
      <alignment horizontal="center" vertical="center"/>
      <protection locked="0" hidden="1"/>
    </xf>
    <xf numFmtId="0" fontId="13" fillId="0" borderId="51" xfId="0" applyFont="1" applyBorder="1" applyAlignment="1" applyProtection="1">
      <alignment horizontal="center" vertical="center"/>
      <protection locked="0" hidden="1"/>
    </xf>
    <xf numFmtId="0" fontId="9" fillId="0" borderId="51" xfId="0" applyFont="1" applyBorder="1" applyAlignment="1" applyProtection="1">
      <alignment horizontal="center" vertical="center"/>
      <protection locked="0" hidden="1"/>
    </xf>
    <xf numFmtId="1" fontId="9" fillId="0" borderId="51" xfId="0" applyNumberFormat="1" applyFont="1" applyBorder="1" applyAlignment="1" applyProtection="1">
      <alignment horizontal="center" vertical="center"/>
      <protection locked="0" hidden="1"/>
    </xf>
    <xf numFmtId="0" fontId="0" fillId="0" borderId="51" xfId="0" applyBorder="1" applyAlignment="1" applyProtection="1">
      <alignment horizontal="center" vertical="center"/>
      <protection locked="0" hidden="1"/>
    </xf>
    <xf numFmtId="165" fontId="9" fillId="0" borderId="51" xfId="1" applyNumberFormat="1" applyFont="1" applyFill="1" applyBorder="1" applyAlignment="1" applyProtection="1">
      <alignment horizontal="center" vertical="center"/>
      <protection locked="0" hidden="1"/>
    </xf>
    <xf numFmtId="0" fontId="0" fillId="0" borderId="72" xfId="0" applyBorder="1" applyAlignment="1" applyProtection="1">
      <alignment horizontal="center" vertical="center"/>
      <protection locked="0" hidden="1"/>
    </xf>
    <xf numFmtId="0" fontId="13" fillId="0" borderId="146" xfId="0" applyFont="1" applyBorder="1" applyAlignment="1" applyProtection="1">
      <alignment horizontal="center" vertical="center"/>
      <protection locked="0" hidden="1"/>
    </xf>
    <xf numFmtId="0" fontId="9" fillId="0" borderId="70" xfId="0" applyFont="1" applyBorder="1" applyAlignment="1" applyProtection="1">
      <alignment horizontal="center" vertical="center"/>
      <protection locked="0" hidden="1"/>
    </xf>
    <xf numFmtId="168" fontId="9" fillId="0" borderId="144" xfId="0" applyNumberFormat="1" applyFont="1" applyBorder="1" applyAlignment="1" applyProtection="1">
      <alignment horizontal="center" vertical="center"/>
      <protection locked="0" hidden="1"/>
    </xf>
    <xf numFmtId="168" fontId="9" fillId="0" borderId="73" xfId="0" applyNumberFormat="1" applyFont="1" applyBorder="1" applyAlignment="1" applyProtection="1">
      <alignment horizontal="center" vertical="center"/>
      <protection locked="0" hidden="1"/>
    </xf>
    <xf numFmtId="168" fontId="9" fillId="0" borderId="145" xfId="0" applyNumberFormat="1" applyFont="1" applyBorder="1" applyAlignment="1" applyProtection="1">
      <alignment horizontal="center" vertical="center"/>
      <protection locked="0" hidden="1"/>
    </xf>
    <xf numFmtId="0" fontId="9" fillId="0" borderId="143" xfId="0" applyFont="1" applyBorder="1" applyAlignment="1" applyProtection="1">
      <alignment horizontal="center" vertical="center"/>
      <protection locked="0" hidden="1"/>
    </xf>
    <xf numFmtId="0" fontId="13" fillId="0" borderId="70" xfId="0" applyFont="1" applyBorder="1" applyAlignment="1" applyProtection="1">
      <alignment horizontal="center" vertical="center"/>
      <protection locked="0" hidden="1"/>
    </xf>
    <xf numFmtId="1" fontId="9" fillId="0" borderId="70" xfId="0" applyNumberFormat="1" applyFont="1" applyBorder="1" applyAlignment="1" applyProtection="1">
      <alignment horizontal="center" vertical="center"/>
      <protection locked="0" hidden="1"/>
    </xf>
    <xf numFmtId="0" fontId="0" fillId="0" borderId="70" xfId="0" applyBorder="1" applyAlignment="1" applyProtection="1">
      <alignment horizontal="center" vertical="center"/>
      <protection locked="0" hidden="1"/>
    </xf>
    <xf numFmtId="165" fontId="9" fillId="0" borderId="70" xfId="1" applyNumberFormat="1" applyFont="1" applyFill="1" applyBorder="1" applyAlignment="1" applyProtection="1">
      <alignment horizontal="center" vertical="center"/>
      <protection locked="0" hidden="1"/>
    </xf>
    <xf numFmtId="0" fontId="0" fillId="0" borderId="71" xfId="0" applyBorder="1" applyAlignment="1" applyProtection="1">
      <alignment horizontal="center" vertical="center"/>
      <protection locked="0" hidden="1"/>
    </xf>
    <xf numFmtId="170" fontId="9" fillId="0" borderId="0" xfId="0" applyNumberFormat="1" applyFont="1" applyAlignment="1">
      <alignment horizontal="center" vertical="center" readingOrder="2"/>
    </xf>
    <xf numFmtId="0" fontId="13" fillId="0" borderId="9" xfId="0" applyFont="1" applyBorder="1" applyAlignment="1" applyProtection="1">
      <alignment horizontal="center" vertical="center" readingOrder="2"/>
      <protection locked="0" hidden="1"/>
    </xf>
    <xf numFmtId="0" fontId="7" fillId="7" borderId="49" xfId="0" applyFont="1" applyFill="1" applyBorder="1" applyAlignment="1" applyProtection="1">
      <alignment horizontal="center" vertical="center"/>
      <protection hidden="1"/>
    </xf>
    <xf numFmtId="0" fontId="9" fillId="8" borderId="50" xfId="0" applyFont="1" applyFill="1" applyBorder="1" applyAlignment="1" applyProtection="1">
      <alignment horizontal="center" vertical="center"/>
      <protection locked="0" hidden="1"/>
    </xf>
    <xf numFmtId="0" fontId="7" fillId="3" borderId="48" xfId="0" applyFont="1" applyFill="1" applyBorder="1" applyAlignment="1" applyProtection="1">
      <alignment horizontal="center" vertical="center"/>
      <protection hidden="1"/>
    </xf>
    <xf numFmtId="0" fontId="0" fillId="0" borderId="0" xfId="0" applyAlignment="1">
      <alignment vertical="center"/>
    </xf>
    <xf numFmtId="0" fontId="13" fillId="12" borderId="70" xfId="0" applyFont="1" applyFill="1" applyBorder="1" applyAlignment="1" applyProtection="1">
      <alignment horizontal="center" vertical="center" readingOrder="2"/>
      <protection locked="0" hidden="1"/>
    </xf>
    <xf numFmtId="0" fontId="13" fillId="0" borderId="0" xfId="0" applyFont="1" applyAlignment="1" applyProtection="1">
      <alignment horizontal="center" vertical="center" readingOrder="2"/>
      <protection locked="0" hidden="1"/>
    </xf>
    <xf numFmtId="0" fontId="28" fillId="2" borderId="23" xfId="0" applyFont="1" applyFill="1" applyBorder="1" applyAlignment="1" applyProtection="1">
      <alignment horizontal="center" vertical="center" shrinkToFit="1"/>
      <protection hidden="1"/>
    </xf>
    <xf numFmtId="0" fontId="28" fillId="2" borderId="24" xfId="0" applyFont="1" applyFill="1" applyBorder="1" applyAlignment="1" applyProtection="1">
      <alignment vertical="center" shrinkToFit="1"/>
      <protection hidden="1"/>
    </xf>
    <xf numFmtId="165" fontId="25" fillId="3" borderId="147" xfId="0" applyNumberFormat="1" applyFont="1" applyFill="1" applyBorder="1" applyAlignment="1" applyProtection="1">
      <alignment horizontal="center" vertical="center" shrinkToFit="1"/>
      <protection hidden="1"/>
    </xf>
    <xf numFmtId="49" fontId="7" fillId="0" borderId="33" xfId="0" applyNumberFormat="1" applyFont="1" applyBorder="1" applyAlignment="1" applyProtection="1">
      <alignment horizontal="center" vertical="center" shrinkToFit="1"/>
      <protection locked="0" hidden="1"/>
    </xf>
    <xf numFmtId="49" fontId="0" fillId="0" borderId="98" xfId="0" applyNumberFormat="1" applyBorder="1" applyAlignment="1" applyProtection="1">
      <alignment horizontal="center" vertical="center" shrinkToFit="1"/>
      <protection locked="0" hidden="1"/>
    </xf>
    <xf numFmtId="1" fontId="0" fillId="0" borderId="98" xfId="0" applyNumberFormat="1" applyBorder="1" applyAlignment="1" applyProtection="1">
      <alignment horizontal="center" vertical="center" shrinkToFit="1"/>
      <protection locked="0" hidden="1"/>
    </xf>
    <xf numFmtId="168" fontId="9" fillId="3" borderId="17" xfId="0" applyNumberFormat="1" applyFont="1" applyFill="1" applyBorder="1" applyAlignment="1" applyProtection="1">
      <alignment horizontal="center" vertical="center" shrinkToFit="1"/>
      <protection hidden="1"/>
    </xf>
    <xf numFmtId="0" fontId="33" fillId="0" borderId="0" xfId="0" applyFont="1" applyAlignment="1" applyProtection="1">
      <alignment horizontal="center" vertical="center"/>
      <protection locked="0" hidden="1"/>
    </xf>
    <xf numFmtId="0" fontId="18" fillId="13" borderId="151" xfId="0" applyFont="1" applyFill="1" applyBorder="1" applyAlignment="1">
      <alignment horizontal="center" vertical="center"/>
    </xf>
    <xf numFmtId="0" fontId="18" fillId="13" borderId="150" xfId="0" applyFont="1" applyFill="1" applyBorder="1" applyAlignment="1">
      <alignment horizontal="center" vertical="center"/>
    </xf>
    <xf numFmtId="0" fontId="13" fillId="12" borderId="153" xfId="0" applyFont="1" applyFill="1" applyBorder="1" applyAlignment="1">
      <alignment horizontal="center" vertical="center"/>
    </xf>
    <xf numFmtId="165" fontId="9" fillId="12" borderId="154" xfId="0" applyNumberFormat="1" applyFont="1" applyFill="1" applyBorder="1" applyAlignment="1">
      <alignment horizontal="center" vertical="center"/>
    </xf>
    <xf numFmtId="0" fontId="13" fillId="0" borderId="155" xfId="0" applyFont="1" applyBorder="1" applyAlignment="1">
      <alignment horizontal="center" vertical="center"/>
    </xf>
    <xf numFmtId="165" fontId="9" fillId="0" borderId="156" xfId="0" applyNumberFormat="1" applyFont="1" applyBorder="1" applyAlignment="1">
      <alignment horizontal="center" vertical="center"/>
    </xf>
    <xf numFmtId="0" fontId="13" fillId="12" borderId="155" xfId="0" applyFont="1" applyFill="1" applyBorder="1" applyAlignment="1">
      <alignment horizontal="center" vertical="center"/>
    </xf>
    <xf numFmtId="165" fontId="9" fillId="12" borderId="156" xfId="0" applyNumberFormat="1" applyFont="1" applyFill="1" applyBorder="1" applyAlignment="1">
      <alignment horizontal="center" vertical="center"/>
    </xf>
    <xf numFmtId="168" fontId="9" fillId="0" borderId="156" xfId="0" applyNumberFormat="1" applyFont="1" applyBorder="1" applyAlignment="1">
      <alignment horizontal="center" vertical="center"/>
    </xf>
    <xf numFmtId="168" fontId="9" fillId="12" borderId="156" xfId="0" applyNumberFormat="1" applyFont="1" applyFill="1" applyBorder="1" applyAlignment="1">
      <alignment horizontal="center" vertical="center"/>
    </xf>
    <xf numFmtId="0" fontId="13" fillId="12" borderId="153" xfId="0" applyFont="1" applyFill="1" applyBorder="1" applyAlignment="1">
      <alignment horizontal="center" vertical="center" readingOrder="2"/>
    </xf>
    <xf numFmtId="0" fontId="13" fillId="0" borderId="155" xfId="0" applyFont="1" applyBorder="1" applyAlignment="1">
      <alignment horizontal="center" vertical="center" readingOrder="2"/>
    </xf>
    <xf numFmtId="0" fontId="13" fillId="12" borderId="155" xfId="0" applyFont="1" applyFill="1" applyBorder="1" applyAlignment="1">
      <alignment horizontal="center" vertical="center" readingOrder="2"/>
    </xf>
    <xf numFmtId="0" fontId="18" fillId="13" borderId="152" xfId="0" applyFont="1" applyFill="1" applyBorder="1" applyAlignment="1">
      <alignment horizontal="center" vertical="center"/>
    </xf>
    <xf numFmtId="165" fontId="9" fillId="12" borderId="70" xfId="0" applyNumberFormat="1" applyFont="1" applyFill="1" applyBorder="1" applyAlignment="1">
      <alignment horizontal="center" vertical="center"/>
    </xf>
    <xf numFmtId="0" fontId="0" fillId="12" borderId="154" xfId="0" applyFill="1" applyBorder="1" applyAlignment="1">
      <alignment horizontal="center" vertical="center"/>
    </xf>
    <xf numFmtId="165" fontId="9" fillId="0" borderId="142" xfId="0" applyNumberFormat="1" applyFont="1" applyBorder="1" applyAlignment="1">
      <alignment horizontal="center" vertical="center"/>
    </xf>
    <xf numFmtId="0" fontId="0" fillId="0" borderId="156" xfId="0" applyBorder="1" applyAlignment="1">
      <alignment horizontal="center" vertical="center"/>
    </xf>
    <xf numFmtId="165" fontId="9" fillId="12" borderId="142" xfId="0" applyNumberFormat="1" applyFont="1" applyFill="1" applyBorder="1" applyAlignment="1">
      <alignment horizontal="center" vertical="center"/>
    </xf>
    <xf numFmtId="0" fontId="0" fillId="12" borderId="156" xfId="0" applyFill="1" applyBorder="1" applyAlignment="1">
      <alignment horizontal="center" vertical="center"/>
    </xf>
    <xf numFmtId="168" fontId="9" fillId="12" borderId="142" xfId="0" applyNumberFormat="1" applyFont="1" applyFill="1" applyBorder="1" applyAlignment="1">
      <alignment horizontal="center" vertical="center"/>
    </xf>
    <xf numFmtId="0" fontId="13" fillId="12" borderId="156" xfId="0" applyFont="1" applyFill="1" applyBorder="1" applyAlignment="1">
      <alignment horizontal="center" vertical="center" readingOrder="2"/>
    </xf>
    <xf numFmtId="168" fontId="9" fillId="0" borderId="142" xfId="0" applyNumberFormat="1" applyFont="1" applyBorder="1" applyAlignment="1">
      <alignment horizontal="center" vertical="center"/>
    </xf>
    <xf numFmtId="0" fontId="13" fillId="0" borderId="156" xfId="0" applyFont="1" applyBorder="1" applyAlignment="1">
      <alignment horizontal="center" vertical="center" readingOrder="2"/>
    </xf>
    <xf numFmtId="0" fontId="13" fillId="12" borderId="70" xfId="0" applyFont="1" applyFill="1" applyBorder="1" applyAlignment="1">
      <alignment horizontal="center" vertical="center" readingOrder="2"/>
    </xf>
    <xf numFmtId="0" fontId="13" fillId="0" borderId="142" xfId="0" applyFont="1" applyBorder="1" applyAlignment="1">
      <alignment horizontal="center" vertical="center" readingOrder="2"/>
    </xf>
    <xf numFmtId="0" fontId="13" fillId="12" borderId="142" xfId="0" applyFont="1" applyFill="1" applyBorder="1" applyAlignment="1">
      <alignment horizontal="center" vertical="center" readingOrder="2"/>
    </xf>
    <xf numFmtId="0" fontId="0" fillId="9" borderId="0" xfId="0" applyFill="1"/>
    <xf numFmtId="0" fontId="0" fillId="9" borderId="70" xfId="0" applyFill="1" applyBorder="1"/>
    <xf numFmtId="0" fontId="0" fillId="9" borderId="9" xfId="0" applyFill="1" applyBorder="1" applyAlignment="1" applyProtection="1">
      <alignment horizontal="center" vertical="center"/>
      <protection hidden="1"/>
    </xf>
    <xf numFmtId="0" fontId="0" fillId="9" borderId="0" xfId="0" applyFill="1" applyAlignment="1" applyProtection="1">
      <alignment horizontal="center" vertical="center"/>
      <protection hidden="1"/>
    </xf>
    <xf numFmtId="0" fontId="0" fillId="9" borderId="10" xfId="0" applyFill="1" applyBorder="1" applyAlignment="1" applyProtection="1">
      <alignment horizontal="center" vertical="center"/>
      <protection hidden="1"/>
    </xf>
    <xf numFmtId="0" fontId="0" fillId="9" borderId="31" xfId="0" applyFill="1" applyBorder="1" applyAlignment="1" applyProtection="1">
      <alignment horizontal="center" vertical="center"/>
      <protection hidden="1"/>
    </xf>
    <xf numFmtId="0" fontId="0" fillId="9" borderId="8" xfId="0" applyFill="1" applyBorder="1" applyAlignment="1" applyProtection="1">
      <alignment horizontal="center" vertical="center"/>
      <protection hidden="1"/>
    </xf>
    <xf numFmtId="0" fontId="0" fillId="9" borderId="7" xfId="0" applyFill="1" applyBorder="1" applyAlignment="1" applyProtection="1">
      <alignment horizontal="center" vertical="center"/>
      <protection hidden="1"/>
    </xf>
    <xf numFmtId="0" fontId="0" fillId="9" borderId="9" xfId="0" applyFill="1" applyBorder="1"/>
    <xf numFmtId="0" fontId="0" fillId="9" borderId="10" xfId="0" applyFill="1" applyBorder="1"/>
    <xf numFmtId="0" fontId="0" fillId="9" borderId="31" xfId="0" applyFill="1" applyBorder="1"/>
    <xf numFmtId="0" fontId="0" fillId="9" borderId="8" xfId="0" applyFill="1" applyBorder="1"/>
    <xf numFmtId="0" fontId="0" fillId="9" borderId="7" xfId="0" applyFill="1" applyBorder="1"/>
    <xf numFmtId="0" fontId="0" fillId="9" borderId="71" xfId="0" applyFill="1" applyBorder="1"/>
    <xf numFmtId="0" fontId="0" fillId="9" borderId="73" xfId="0" applyFill="1" applyBorder="1"/>
    <xf numFmtId="165" fontId="9" fillId="0" borderId="51" xfId="0" applyNumberFormat="1" applyFont="1" applyBorder="1" applyAlignment="1" applyProtection="1">
      <alignment horizontal="center" vertical="center"/>
      <protection locked="0" hidden="1"/>
    </xf>
    <xf numFmtId="168" fontId="0" fillId="0" borderId="142" xfId="0" applyNumberFormat="1" applyBorder="1" applyAlignment="1" applyProtection="1">
      <alignment horizontal="center" vertical="center"/>
      <protection locked="0" hidden="1"/>
    </xf>
    <xf numFmtId="168" fontId="0" fillId="0" borderId="0" xfId="0" applyNumberFormat="1" applyAlignment="1" applyProtection="1">
      <alignment horizontal="center" vertical="center"/>
      <protection locked="0" hidden="1"/>
    </xf>
    <xf numFmtId="1" fontId="9" fillId="0" borderId="0" xfId="0" applyNumberFormat="1" applyFont="1" applyAlignment="1" applyProtection="1">
      <alignment horizontal="center" vertical="center"/>
      <protection locked="0" hidden="1"/>
    </xf>
    <xf numFmtId="165" fontId="9" fillId="0" borderId="0" xfId="1" applyNumberFormat="1" applyFont="1" applyFill="1" applyBorder="1" applyAlignment="1" applyProtection="1">
      <alignment horizontal="center" vertical="center"/>
      <protection locked="0" hidden="1"/>
    </xf>
    <xf numFmtId="0" fontId="18" fillId="13" borderId="2" xfId="0" applyFont="1" applyFill="1" applyBorder="1" applyAlignment="1" applyProtection="1">
      <alignment horizontal="center" vertical="center"/>
      <protection locked="0" hidden="1"/>
    </xf>
    <xf numFmtId="0" fontId="13" fillId="0" borderId="29" xfId="0" applyFont="1" applyBorder="1" applyAlignment="1" applyProtection="1">
      <alignment horizontal="center" vertical="center"/>
      <protection locked="0" hidden="1"/>
    </xf>
    <xf numFmtId="0" fontId="13" fillId="0" borderId="47" xfId="0" applyFont="1" applyBorder="1" applyAlignment="1" applyProtection="1">
      <alignment horizontal="center" vertical="center"/>
      <protection locked="0" hidden="1"/>
    </xf>
    <xf numFmtId="0" fontId="0" fillId="0" borderId="29" xfId="0" applyBorder="1" applyAlignment="1" applyProtection="1">
      <alignment horizontal="center" vertical="center"/>
      <protection locked="0" hidden="1"/>
    </xf>
    <xf numFmtId="0" fontId="0" fillId="0" borderId="47" xfId="0" applyBorder="1" applyAlignment="1" applyProtection="1">
      <alignment horizontal="center" vertical="center"/>
      <protection locked="0" hidden="1"/>
    </xf>
    <xf numFmtId="0" fontId="10" fillId="0" borderId="0" xfId="0" applyFont="1" applyAlignment="1" applyProtection="1">
      <alignment horizontal="center" vertical="center"/>
      <protection hidden="1"/>
    </xf>
    <xf numFmtId="0" fontId="13" fillId="0" borderId="0" xfId="0" applyFont="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0" fillId="0" borderId="10" xfId="0" applyBorder="1" applyAlignment="1" applyProtection="1">
      <alignment horizontal="center" vertical="center"/>
      <protection hidden="1"/>
    </xf>
    <xf numFmtId="0" fontId="13" fillId="0" borderId="31" xfId="0" applyFont="1" applyBorder="1" applyAlignment="1" applyProtection="1">
      <alignment horizontal="center" vertical="center"/>
      <protection hidden="1"/>
    </xf>
    <xf numFmtId="0" fontId="0" fillId="0" borderId="8"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31" xfId="0" applyBorder="1" applyAlignment="1" applyProtection="1">
      <alignment horizontal="center" vertical="center"/>
      <protection hidden="1"/>
    </xf>
    <xf numFmtId="44" fontId="9" fillId="0" borderId="0" xfId="1" applyFont="1" applyFill="1" applyBorder="1" applyAlignment="1" applyProtection="1">
      <alignment horizontal="center" vertical="center"/>
      <protection locked="0" hidden="1"/>
    </xf>
    <xf numFmtId="44" fontId="9" fillId="0" borderId="0" xfId="1" applyFont="1" applyAlignment="1" applyProtection="1">
      <alignment horizontal="center" vertical="center"/>
      <protection locked="0" hidden="1"/>
    </xf>
    <xf numFmtId="0" fontId="0" fillId="0" borderId="0" xfId="0" applyNumberFormat="1" applyFill="1" applyAlignment="1" applyProtection="1">
      <alignment horizontal="center" vertical="center"/>
      <protection hidden="1"/>
    </xf>
    <xf numFmtId="0" fontId="0" fillId="0" borderId="0" xfId="0" applyFill="1" applyAlignment="1" applyProtection="1">
      <alignment horizontal="center" vertical="center"/>
      <protection hidden="1"/>
    </xf>
    <xf numFmtId="0" fontId="0" fillId="0" borderId="0" xfId="0" applyFill="1" applyAlignment="1" applyProtection="1">
      <alignment horizontal="center" vertical="center"/>
      <protection locked="0" hidden="1"/>
    </xf>
    <xf numFmtId="0" fontId="36" fillId="0" borderId="148" xfId="0" applyNumberFormat="1" applyFont="1" applyFill="1" applyBorder="1" applyAlignment="1" applyProtection="1">
      <alignment horizontal="center" vertical="center"/>
      <protection locked="0" hidden="1"/>
    </xf>
    <xf numFmtId="0" fontId="0" fillId="0" borderId="148" xfId="0" applyNumberFormat="1" applyFill="1" applyBorder="1" applyAlignment="1" applyProtection="1">
      <alignment horizontal="center" vertical="center"/>
      <protection locked="0" hidden="1"/>
    </xf>
    <xf numFmtId="0" fontId="0" fillId="0" borderId="0" xfId="0" applyNumberFormat="1" applyFill="1" applyAlignment="1" applyProtection="1">
      <alignment horizontal="center" vertical="center"/>
      <protection locked="0" hidden="1"/>
    </xf>
    <xf numFmtId="0" fontId="8" fillId="0" borderId="0" xfId="0" applyFont="1" applyFill="1" applyAlignment="1" applyProtection="1">
      <alignment horizontal="center" vertical="center"/>
      <protection locked="0" hidden="1"/>
    </xf>
    <xf numFmtId="0" fontId="0" fillId="0" borderId="149" xfId="0" applyNumberFormat="1" applyFill="1" applyBorder="1" applyAlignment="1" applyProtection="1">
      <alignment horizontal="center" vertical="center"/>
      <protection locked="0" hidden="1"/>
    </xf>
    <xf numFmtId="0" fontId="36" fillId="0" borderId="157" xfId="0" applyNumberFormat="1" applyFont="1" applyFill="1" applyBorder="1" applyAlignment="1" applyProtection="1">
      <alignment horizontal="center" vertical="center"/>
      <protection locked="0" hidden="1"/>
    </xf>
    <xf numFmtId="0" fontId="36" fillId="0" borderId="0" xfId="0" applyFont="1" applyFill="1" applyAlignment="1" applyProtection="1">
      <alignment horizontal="center" vertical="center"/>
      <protection locked="0" hidden="1"/>
    </xf>
    <xf numFmtId="0" fontId="28" fillId="0" borderId="148" xfId="0" applyNumberFormat="1" applyFont="1" applyFill="1" applyBorder="1" applyAlignment="1" applyProtection="1">
      <alignment horizontal="center" vertical="center"/>
      <protection locked="0" hidden="1"/>
    </xf>
    <xf numFmtId="0" fontId="28" fillId="0" borderId="148" xfId="0" applyFont="1" applyFill="1" applyBorder="1" applyAlignment="1" applyProtection="1">
      <alignment horizontal="center" vertical="center"/>
      <protection locked="0" hidden="1"/>
    </xf>
    <xf numFmtId="0" fontId="0" fillId="0" borderId="148" xfId="0" applyFill="1" applyBorder="1" applyAlignment="1" applyProtection="1">
      <alignment horizontal="center" vertical="center"/>
      <protection locked="0" hidden="1"/>
    </xf>
    <xf numFmtId="0" fontId="5" fillId="3" borderId="24" xfId="0" applyFont="1" applyFill="1" applyBorder="1" applyAlignment="1" applyProtection="1">
      <alignment horizontal="center" vertical="center"/>
      <protection hidden="1"/>
    </xf>
    <xf numFmtId="0" fontId="5" fillId="3" borderId="88" xfId="0" applyFont="1" applyFill="1" applyBorder="1" applyAlignment="1" applyProtection="1">
      <alignment horizontal="center" vertical="center"/>
      <protection hidden="1"/>
    </xf>
    <xf numFmtId="0" fontId="33" fillId="0" borderId="0" xfId="0" applyFont="1" applyAlignment="1" applyProtection="1">
      <alignment horizontal="center" vertical="center"/>
      <protection locked="0" hidden="1"/>
    </xf>
    <xf numFmtId="164" fontId="23" fillId="0" borderId="20" xfId="0" applyNumberFormat="1" applyFont="1" applyBorder="1" applyAlignment="1" applyProtection="1">
      <alignment horizontal="center" vertical="center"/>
      <protection locked="0"/>
    </xf>
    <xf numFmtId="166" fontId="4" fillId="0" borderId="66" xfId="0" applyNumberFormat="1" applyFont="1" applyBorder="1" applyAlignment="1" applyProtection="1">
      <alignment horizontal="center" vertical="center" shrinkToFit="1"/>
      <protection hidden="1"/>
    </xf>
    <xf numFmtId="166" fontId="4" fillId="0" borderId="68" xfId="0" applyNumberFormat="1" applyFont="1" applyBorder="1" applyAlignment="1" applyProtection="1">
      <alignment horizontal="center" vertical="center" shrinkToFit="1"/>
      <protection hidden="1"/>
    </xf>
    <xf numFmtId="0" fontId="0" fillId="0" borderId="89" xfId="0" applyBorder="1" applyAlignment="1">
      <alignment horizontal="center" vertical="center" shrinkToFit="1"/>
    </xf>
    <xf numFmtId="0" fontId="0" fillId="0" borderId="90" xfId="0" applyBorder="1" applyAlignment="1">
      <alignment horizontal="center" vertical="center" shrinkToFit="1"/>
    </xf>
    <xf numFmtId="0" fontId="25" fillId="0" borderId="91" xfId="0" applyFont="1" applyBorder="1" applyAlignment="1">
      <alignment horizontal="center" vertical="center" shrinkToFit="1" readingOrder="2"/>
    </xf>
    <xf numFmtId="0" fontId="25" fillId="0" borderId="0" xfId="0" applyFont="1" applyAlignment="1">
      <alignment horizontal="center" vertical="center" shrinkToFit="1" readingOrder="2"/>
    </xf>
    <xf numFmtId="0" fontId="25" fillId="0" borderId="92" xfId="0" applyFont="1" applyBorder="1" applyAlignment="1">
      <alignment horizontal="center" vertical="center" shrinkToFit="1" readingOrder="2"/>
    </xf>
    <xf numFmtId="168" fontId="26" fillId="0" borderId="76" xfId="2" applyNumberFormat="1" applyFont="1" applyFill="1" applyBorder="1" applyAlignment="1" applyProtection="1">
      <alignment horizontal="center" vertical="center" shrinkToFit="1"/>
      <protection locked="0" hidden="1"/>
    </xf>
    <xf numFmtId="168" fontId="26" fillId="0" borderId="47" xfId="2" applyNumberFormat="1" applyFont="1" applyFill="1" applyBorder="1" applyAlignment="1" applyProtection="1">
      <alignment horizontal="center" vertical="center" shrinkToFit="1"/>
      <protection locked="0" hidden="1"/>
    </xf>
    <xf numFmtId="168" fontId="24" fillId="0" borderId="80" xfId="0" applyNumberFormat="1" applyFont="1" applyBorder="1" applyAlignment="1" applyProtection="1">
      <alignment horizontal="center" vertical="center" shrinkToFit="1"/>
      <protection hidden="1"/>
    </xf>
    <xf numFmtId="168" fontId="24" fillId="0" borderId="93" xfId="0" applyNumberFormat="1" applyFont="1" applyBorder="1" applyAlignment="1" applyProtection="1">
      <alignment horizontal="center" vertical="center" shrinkToFit="1"/>
      <protection hidden="1"/>
    </xf>
    <xf numFmtId="168" fontId="24" fillId="0" borderId="31" xfId="0" applyNumberFormat="1" applyFont="1" applyBorder="1" applyAlignment="1" applyProtection="1">
      <alignment horizontal="center" vertical="center" shrinkToFit="1"/>
      <protection hidden="1"/>
    </xf>
    <xf numFmtId="168" fontId="24" fillId="0" borderId="21" xfId="0" applyNumberFormat="1" applyFont="1" applyBorder="1" applyAlignment="1" applyProtection="1">
      <alignment horizontal="center" vertical="center" shrinkToFit="1"/>
      <protection hidden="1"/>
    </xf>
    <xf numFmtId="167" fontId="24" fillId="18" borderId="94" xfId="2" applyNumberFormat="1" applyFont="1" applyFill="1" applyBorder="1" applyAlignment="1" applyProtection="1">
      <alignment horizontal="center" vertical="center" shrinkToFit="1"/>
      <protection hidden="1"/>
    </xf>
    <xf numFmtId="167" fontId="24" fillId="18" borderId="19" xfId="2" applyNumberFormat="1" applyFont="1" applyFill="1" applyBorder="1" applyAlignment="1" applyProtection="1">
      <alignment horizontal="center" vertical="center" shrinkToFit="1"/>
      <protection hidden="1"/>
    </xf>
    <xf numFmtId="165" fontId="0" fillId="0" borderId="95" xfId="0" applyNumberFormat="1" applyBorder="1" applyAlignment="1" applyProtection="1">
      <alignment horizontal="center" vertical="center" shrinkToFit="1"/>
      <protection hidden="1"/>
    </xf>
    <xf numFmtId="165" fontId="0" fillId="0" borderId="47" xfId="0" applyNumberFormat="1" applyBorder="1" applyAlignment="1" applyProtection="1">
      <alignment horizontal="center" vertical="center" shrinkToFit="1"/>
      <protection hidden="1"/>
    </xf>
    <xf numFmtId="168" fontId="10" fillId="0" borderId="80" xfId="2" applyNumberFormat="1" applyFont="1" applyFill="1" applyBorder="1" applyAlignment="1" applyProtection="1">
      <alignment horizontal="center" vertical="center" shrinkToFit="1"/>
      <protection hidden="1"/>
    </xf>
    <xf numFmtId="168" fontId="10" fillId="0" borderId="81" xfId="2" applyNumberFormat="1" applyFont="1" applyFill="1" applyBorder="1" applyAlignment="1" applyProtection="1">
      <alignment horizontal="center" vertical="center" shrinkToFit="1"/>
      <protection hidden="1"/>
    </xf>
    <xf numFmtId="168" fontId="10" fillId="0" borderId="31" xfId="2" applyNumberFormat="1" applyFont="1" applyFill="1" applyBorder="1" applyAlignment="1" applyProtection="1">
      <alignment horizontal="center" vertical="center" shrinkToFit="1"/>
      <protection hidden="1"/>
    </xf>
    <xf numFmtId="168" fontId="10" fillId="0" borderId="7" xfId="2" applyNumberFormat="1" applyFont="1" applyFill="1" applyBorder="1" applyAlignment="1" applyProtection="1">
      <alignment horizontal="center" vertical="center" shrinkToFit="1"/>
      <protection hidden="1"/>
    </xf>
    <xf numFmtId="166" fontId="27" fillId="0" borderId="76" xfId="2" applyNumberFormat="1" applyFont="1" applyFill="1" applyBorder="1" applyAlignment="1" applyProtection="1">
      <alignment horizontal="center" vertical="center" shrinkToFit="1"/>
      <protection hidden="1"/>
    </xf>
    <xf numFmtId="166" fontId="27" fillId="0" borderId="29" xfId="2" applyNumberFormat="1" applyFont="1" applyFill="1" applyBorder="1" applyAlignment="1" applyProtection="1">
      <alignment horizontal="center" vertical="center" shrinkToFit="1"/>
      <protection hidden="1"/>
    </xf>
    <xf numFmtId="166" fontId="27" fillId="0" borderId="47" xfId="2" applyNumberFormat="1" applyFont="1" applyFill="1" applyBorder="1" applyAlignment="1" applyProtection="1">
      <alignment horizontal="center" vertical="center" shrinkToFit="1"/>
      <protection hidden="1"/>
    </xf>
    <xf numFmtId="165" fontId="4" fillId="4" borderId="28" xfId="0" applyNumberFormat="1" applyFont="1" applyFill="1" applyBorder="1" applyAlignment="1" applyProtection="1">
      <alignment horizontal="center" vertical="center"/>
      <protection hidden="1"/>
    </xf>
    <xf numFmtId="165" fontId="4" fillId="4" borderId="24" xfId="0" applyNumberFormat="1" applyFont="1" applyFill="1" applyBorder="1" applyAlignment="1" applyProtection="1">
      <alignment horizontal="center" vertical="center"/>
      <protection hidden="1"/>
    </xf>
    <xf numFmtId="0" fontId="25" fillId="0" borderId="96" xfId="0" applyFont="1" applyBorder="1" applyAlignment="1">
      <alignment horizontal="center" vertical="center" shrinkToFit="1" readingOrder="2"/>
    </xf>
    <xf numFmtId="0" fontId="25" fillId="0" borderId="97" xfId="0" applyFont="1" applyBorder="1" applyAlignment="1">
      <alignment horizontal="center" vertical="center" shrinkToFit="1" readingOrder="2"/>
    </xf>
    <xf numFmtId="0" fontId="25" fillId="0" borderId="93" xfId="0" applyFont="1" applyBorder="1" applyAlignment="1">
      <alignment horizontal="center" vertical="center" shrinkToFit="1" readingOrder="2"/>
    </xf>
    <xf numFmtId="0" fontId="28" fillId="2" borderId="76" xfId="0" applyFont="1" applyFill="1" applyBorder="1" applyAlignment="1" applyProtection="1">
      <alignment horizontal="center" vertical="center" wrapText="1"/>
      <protection hidden="1"/>
    </xf>
    <xf numFmtId="0" fontId="28" fillId="2" borderId="47" xfId="0" applyFont="1" applyFill="1" applyBorder="1" applyAlignment="1" applyProtection="1">
      <alignment horizontal="center" vertical="center" wrapText="1"/>
      <protection hidden="1"/>
    </xf>
    <xf numFmtId="0" fontId="10" fillId="19" borderId="72" xfId="0" applyFont="1" applyFill="1" applyBorder="1" applyAlignment="1" applyProtection="1">
      <alignment horizontal="center" vertical="center"/>
      <protection hidden="1"/>
    </xf>
    <xf numFmtId="0" fontId="10" fillId="19" borderId="51" xfId="0" applyFont="1" applyFill="1" applyBorder="1" applyAlignment="1" applyProtection="1">
      <alignment horizontal="center" vertical="center"/>
      <protection hidden="1"/>
    </xf>
    <xf numFmtId="0" fontId="10" fillId="19" borderId="30" xfId="0" applyFont="1" applyFill="1" applyBorder="1" applyAlignment="1" applyProtection="1">
      <alignment horizontal="center" vertical="center"/>
      <protection hidden="1"/>
    </xf>
    <xf numFmtId="165" fontId="4" fillId="4" borderId="26" xfId="0" applyNumberFormat="1" applyFont="1" applyFill="1" applyBorder="1" applyAlignment="1" applyProtection="1">
      <alignment horizontal="center" vertical="center"/>
      <protection hidden="1"/>
    </xf>
    <xf numFmtId="0" fontId="5" fillId="20" borderId="72" xfId="0" applyFont="1" applyFill="1" applyBorder="1" applyAlignment="1" applyProtection="1">
      <alignment horizontal="center" vertical="center"/>
      <protection hidden="1"/>
    </xf>
    <xf numFmtId="0" fontId="5" fillId="20" borderId="51" xfId="0" applyFont="1" applyFill="1" applyBorder="1" applyAlignment="1" applyProtection="1">
      <alignment horizontal="center" vertical="center"/>
      <protection hidden="1"/>
    </xf>
    <xf numFmtId="49" fontId="6" fillId="21" borderId="50" xfId="0" applyNumberFormat="1" applyFont="1" applyFill="1" applyBorder="1" applyAlignment="1" applyProtection="1">
      <alignment horizontal="center" vertical="center" readingOrder="2"/>
      <protection locked="0"/>
    </xf>
    <xf numFmtId="49" fontId="6" fillId="21" borderId="51" xfId="0" applyNumberFormat="1" applyFont="1" applyFill="1" applyBorder="1" applyAlignment="1" applyProtection="1">
      <alignment horizontal="center" vertical="center" readingOrder="2"/>
      <protection locked="0"/>
    </xf>
    <xf numFmtId="49" fontId="6" fillId="21" borderId="48" xfId="0" applyNumberFormat="1" applyFont="1" applyFill="1" applyBorder="1" applyAlignment="1" applyProtection="1">
      <alignment horizontal="center" vertical="center" readingOrder="2"/>
      <protection locked="0"/>
    </xf>
    <xf numFmtId="0" fontId="10" fillId="20" borderId="51" xfId="0" applyFont="1" applyFill="1" applyBorder="1" applyAlignment="1" applyProtection="1">
      <alignment horizontal="center" vertical="center"/>
      <protection hidden="1"/>
    </xf>
    <xf numFmtId="0" fontId="10" fillId="20" borderId="30" xfId="0" applyFont="1" applyFill="1" applyBorder="1" applyAlignment="1" applyProtection="1">
      <alignment horizontal="center" vertical="center"/>
      <protection hidden="1"/>
    </xf>
    <xf numFmtId="169" fontId="28" fillId="21" borderId="72" xfId="0" applyNumberFormat="1" applyFont="1" applyFill="1" applyBorder="1" applyAlignment="1" applyProtection="1">
      <alignment horizontal="center" vertical="center"/>
      <protection locked="0" hidden="1"/>
    </xf>
    <xf numFmtId="14" fontId="28" fillId="21" borderId="30" xfId="0" applyNumberFormat="1" applyFont="1" applyFill="1" applyBorder="1" applyAlignment="1" applyProtection="1">
      <alignment horizontal="center" vertical="center"/>
      <protection locked="0" hidden="1"/>
    </xf>
    <xf numFmtId="0" fontId="10" fillId="2" borderId="77" xfId="0" applyFont="1" applyFill="1" applyBorder="1" applyAlignment="1" applyProtection="1">
      <alignment horizontal="center" vertical="center"/>
      <protection hidden="1"/>
    </xf>
    <xf numFmtId="0" fontId="10" fillId="2" borderId="31" xfId="0" applyFont="1" applyFill="1" applyBorder="1" applyAlignment="1" applyProtection="1">
      <alignment horizontal="center" vertical="center"/>
      <protection hidden="1"/>
    </xf>
    <xf numFmtId="0" fontId="4" fillId="3" borderId="25" xfId="0" applyFont="1" applyFill="1" applyBorder="1" applyAlignment="1" applyProtection="1">
      <alignment horizontal="center" vertical="center"/>
      <protection hidden="1"/>
    </xf>
    <xf numFmtId="0" fontId="4" fillId="3" borderId="26" xfId="0" applyFont="1" applyFill="1" applyBorder="1" applyAlignment="1" applyProtection="1">
      <alignment horizontal="center" vertical="center"/>
      <protection hidden="1"/>
    </xf>
    <xf numFmtId="0" fontId="10" fillId="2" borderId="33" xfId="0" applyFont="1" applyFill="1" applyBorder="1" applyAlignment="1" applyProtection="1">
      <alignment horizontal="center" vertical="center"/>
      <protection hidden="1"/>
    </xf>
    <xf numFmtId="0" fontId="4" fillId="2" borderId="25" xfId="0" applyFont="1" applyFill="1" applyBorder="1" applyAlignment="1" applyProtection="1">
      <alignment horizontal="center" vertical="center"/>
      <protection hidden="1"/>
    </xf>
    <xf numFmtId="0" fontId="4" fillId="2" borderId="26" xfId="0" applyFont="1" applyFill="1" applyBorder="1" applyAlignment="1" applyProtection="1">
      <alignment horizontal="center" vertical="center"/>
      <protection hidden="1"/>
    </xf>
    <xf numFmtId="0" fontId="4" fillId="2" borderId="24" xfId="0" applyFont="1" applyFill="1" applyBorder="1" applyAlignment="1" applyProtection="1">
      <alignment horizontal="center" vertical="center"/>
      <protection hidden="1"/>
    </xf>
    <xf numFmtId="0" fontId="4" fillId="22" borderId="71" xfId="0" applyFont="1" applyFill="1" applyBorder="1" applyAlignment="1" applyProtection="1">
      <alignment horizontal="center" vertical="center"/>
      <protection hidden="1"/>
    </xf>
    <xf numFmtId="0" fontId="4" fillId="22" borderId="70" xfId="0" applyFont="1" applyFill="1" applyBorder="1" applyAlignment="1" applyProtection="1">
      <alignment horizontal="center" vertical="center"/>
      <protection hidden="1"/>
    </xf>
    <xf numFmtId="0" fontId="4" fillId="22" borderId="73" xfId="0" applyFont="1" applyFill="1" applyBorder="1" applyAlignment="1" applyProtection="1">
      <alignment horizontal="center" vertical="center"/>
      <protection hidden="1"/>
    </xf>
    <xf numFmtId="0" fontId="0" fillId="0" borderId="98" xfId="0" applyBorder="1" applyAlignment="1" applyProtection="1">
      <alignment horizontal="center" vertical="center" shrinkToFit="1"/>
      <protection locked="0"/>
    </xf>
    <xf numFmtId="0" fontId="0" fillId="0" borderId="20"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hidden="1"/>
    </xf>
    <xf numFmtId="0" fontId="0" fillId="0" borderId="21" xfId="0" applyBorder="1" applyAlignment="1" applyProtection="1">
      <alignment horizontal="center" vertical="center" shrinkToFit="1"/>
      <protection locked="0" hidden="1"/>
    </xf>
    <xf numFmtId="0" fontId="6" fillId="3" borderId="8" xfId="0" applyFont="1" applyFill="1" applyBorder="1" applyAlignment="1" applyProtection="1">
      <alignment horizontal="center" vertical="center" shrinkToFit="1"/>
      <protection locked="0" hidden="1"/>
    </xf>
    <xf numFmtId="0" fontId="6" fillId="3" borderId="7" xfId="0" applyFont="1" applyFill="1" applyBorder="1" applyAlignment="1" applyProtection="1">
      <alignment horizontal="center" vertical="center" shrinkToFit="1"/>
      <protection locked="0" hidden="1"/>
    </xf>
    <xf numFmtId="0" fontId="0" fillId="3" borderId="28" xfId="0" applyFill="1" applyBorder="1" applyAlignment="1" applyProtection="1">
      <alignment horizontal="center" vertical="center"/>
      <protection hidden="1"/>
    </xf>
    <xf numFmtId="0" fontId="0" fillId="3" borderId="26" xfId="0" applyFill="1" applyBorder="1" applyAlignment="1" applyProtection="1">
      <alignment horizontal="center" vertical="center"/>
      <protection hidden="1"/>
    </xf>
    <xf numFmtId="0" fontId="0" fillId="3" borderId="88" xfId="0" applyFill="1" applyBorder="1" applyAlignment="1" applyProtection="1">
      <alignment horizontal="center" vertical="center"/>
      <protection hidden="1"/>
    </xf>
    <xf numFmtId="0" fontId="0" fillId="3" borderId="25" xfId="0" applyFill="1" applyBorder="1" applyAlignment="1" applyProtection="1">
      <alignment horizontal="center" vertical="center"/>
      <protection hidden="1"/>
    </xf>
    <xf numFmtId="0" fontId="0" fillId="3" borderId="24" xfId="0" applyFill="1" applyBorder="1" applyAlignment="1" applyProtection="1">
      <alignment horizontal="center" vertical="center"/>
      <protection hidden="1"/>
    </xf>
    <xf numFmtId="165" fontId="9" fillId="3" borderId="15" xfId="0" applyNumberFormat="1" applyFont="1" applyFill="1" applyBorder="1" applyAlignment="1" applyProtection="1">
      <alignment horizontal="center" vertical="center" shrinkToFit="1"/>
      <protection hidden="1"/>
    </xf>
    <xf numFmtId="165" fontId="9" fillId="3" borderId="7" xfId="0" applyNumberFormat="1" applyFont="1" applyFill="1" applyBorder="1" applyAlignment="1" applyProtection="1">
      <alignment horizontal="center" vertical="center" shrinkToFit="1"/>
      <protection hidden="1"/>
    </xf>
    <xf numFmtId="0" fontId="4" fillId="2" borderId="4" xfId="0" applyFont="1" applyFill="1" applyBorder="1" applyAlignment="1" applyProtection="1">
      <alignment horizontal="center" vertical="center"/>
      <protection hidden="1"/>
    </xf>
    <xf numFmtId="0" fontId="4" fillId="2" borderId="13" xfId="0" applyFont="1" applyFill="1" applyBorder="1" applyAlignment="1" applyProtection="1">
      <alignment horizontal="center" vertical="center"/>
      <protection hidden="1"/>
    </xf>
    <xf numFmtId="0" fontId="4" fillId="2" borderId="109" xfId="0" applyFont="1" applyFill="1" applyBorder="1" applyAlignment="1" applyProtection="1">
      <alignment horizontal="center" vertical="center"/>
      <protection hidden="1"/>
    </xf>
    <xf numFmtId="0" fontId="4" fillId="2" borderId="110" xfId="0" applyFont="1" applyFill="1" applyBorder="1" applyAlignment="1" applyProtection="1">
      <alignment horizontal="center" vertical="center"/>
      <protection hidden="1"/>
    </xf>
    <xf numFmtId="0" fontId="4" fillId="2" borderId="73" xfId="0" applyFont="1" applyFill="1" applyBorder="1" applyAlignment="1" applyProtection="1">
      <alignment horizontal="center" vertical="center"/>
      <protection hidden="1"/>
    </xf>
    <xf numFmtId="0" fontId="4" fillId="2" borderId="42" xfId="0" applyFont="1" applyFill="1" applyBorder="1" applyAlignment="1" applyProtection="1">
      <alignment horizontal="center" vertical="center"/>
      <protection hidden="1"/>
    </xf>
    <xf numFmtId="0" fontId="4" fillId="2" borderId="77" xfId="0" applyFont="1" applyFill="1" applyBorder="1" applyAlignment="1" applyProtection="1">
      <alignment horizontal="center" vertical="center" shrinkToFit="1"/>
      <protection hidden="1"/>
    </xf>
    <xf numFmtId="0" fontId="4" fillId="2" borderId="60" xfId="0" applyFont="1" applyFill="1" applyBorder="1" applyAlignment="1" applyProtection="1">
      <alignment horizontal="center" vertical="center" shrinkToFit="1"/>
      <protection hidden="1"/>
    </xf>
    <xf numFmtId="0" fontId="4" fillId="2" borderId="99" xfId="0" applyFont="1" applyFill="1" applyBorder="1" applyAlignment="1" applyProtection="1">
      <alignment horizontal="center" vertical="center"/>
      <protection hidden="1"/>
    </xf>
    <xf numFmtId="0" fontId="4" fillId="2" borderId="100" xfId="0" applyFont="1" applyFill="1" applyBorder="1" applyAlignment="1" applyProtection="1">
      <alignment horizontal="center" vertical="center"/>
      <protection hidden="1"/>
    </xf>
    <xf numFmtId="0" fontId="6" fillId="0" borderId="45" xfId="0" applyFont="1" applyBorder="1" applyAlignment="1" applyProtection="1">
      <alignment horizontal="center" vertical="center"/>
      <protection locked="0" hidden="1"/>
    </xf>
    <xf numFmtId="0" fontId="6" fillId="0" borderId="20" xfId="0" applyFont="1" applyBorder="1" applyAlignment="1" applyProtection="1">
      <alignment horizontal="center" vertical="center"/>
      <protection locked="0" hidden="1"/>
    </xf>
    <xf numFmtId="3" fontId="7" fillId="0" borderId="101" xfId="0" applyNumberFormat="1" applyFont="1" applyBorder="1" applyAlignment="1" applyProtection="1">
      <alignment horizontal="center" vertical="center" shrinkToFit="1" readingOrder="2"/>
      <protection hidden="1"/>
    </xf>
    <xf numFmtId="3" fontId="7" fillId="0" borderId="102" xfId="0" applyNumberFormat="1" applyFont="1" applyBorder="1" applyAlignment="1" applyProtection="1">
      <alignment horizontal="center" vertical="center" shrinkToFit="1" readingOrder="2"/>
      <protection hidden="1"/>
    </xf>
    <xf numFmtId="0" fontId="7" fillId="0" borderId="98" xfId="0" applyFont="1" applyBorder="1" applyAlignment="1" applyProtection="1">
      <alignment horizontal="center" vertical="center" shrinkToFit="1" readingOrder="2"/>
      <protection hidden="1"/>
    </xf>
    <xf numFmtId="0" fontId="7" fillId="0" borderId="20" xfId="0" applyFont="1" applyBorder="1" applyAlignment="1" applyProtection="1">
      <alignment horizontal="center" vertical="center" shrinkToFit="1" readingOrder="2"/>
      <protection hidden="1"/>
    </xf>
    <xf numFmtId="0" fontId="6" fillId="0" borderId="98" xfId="0" applyFont="1" applyBorder="1" applyAlignment="1" applyProtection="1">
      <alignment horizontal="center" vertical="center"/>
      <protection locked="0" hidden="1"/>
    </xf>
    <xf numFmtId="0" fontId="4" fillId="2" borderId="71" xfId="0" applyFont="1" applyFill="1" applyBorder="1" applyAlignment="1" applyProtection="1">
      <alignment horizontal="center" vertical="center"/>
      <protection hidden="1"/>
    </xf>
    <xf numFmtId="0" fontId="4" fillId="2" borderId="43" xfId="0" applyFont="1" applyFill="1" applyBorder="1" applyAlignment="1" applyProtection="1">
      <alignment horizontal="center" vertical="center"/>
      <protection hidden="1"/>
    </xf>
    <xf numFmtId="0" fontId="4" fillId="2" borderId="103" xfId="0" applyFont="1" applyFill="1" applyBorder="1" applyAlignment="1" applyProtection="1">
      <alignment horizontal="center" vertical="center"/>
      <protection hidden="1"/>
    </xf>
    <xf numFmtId="0" fontId="4" fillId="2" borderId="44" xfId="0" applyFont="1" applyFill="1" applyBorder="1" applyAlignment="1" applyProtection="1">
      <alignment horizontal="center" vertical="center"/>
      <protection hidden="1"/>
    </xf>
    <xf numFmtId="0" fontId="4" fillId="2" borderId="104" xfId="0" applyFont="1" applyFill="1" applyBorder="1" applyAlignment="1" applyProtection="1">
      <alignment horizontal="center" vertical="center"/>
      <protection hidden="1"/>
    </xf>
    <xf numFmtId="0" fontId="4" fillId="2" borderId="105" xfId="0" applyFont="1" applyFill="1" applyBorder="1" applyAlignment="1" applyProtection="1">
      <alignment horizontal="center" vertical="center"/>
      <protection hidden="1"/>
    </xf>
    <xf numFmtId="0" fontId="4" fillId="2" borderId="106" xfId="0" applyFont="1" applyFill="1" applyBorder="1" applyAlignment="1" applyProtection="1">
      <alignment horizontal="center" vertical="center"/>
      <protection hidden="1"/>
    </xf>
    <xf numFmtId="0" fontId="4" fillId="2" borderId="107" xfId="0" applyFont="1" applyFill="1" applyBorder="1" applyAlignment="1" applyProtection="1">
      <alignment horizontal="center" vertical="center"/>
      <protection hidden="1"/>
    </xf>
    <xf numFmtId="0" fontId="4" fillId="2" borderId="108" xfId="0" applyFont="1" applyFill="1" applyBorder="1" applyAlignment="1" applyProtection="1">
      <alignment horizontal="center" vertical="center"/>
      <protection hidden="1"/>
    </xf>
    <xf numFmtId="0" fontId="10" fillId="20" borderId="72" xfId="0" applyFont="1" applyFill="1" applyBorder="1" applyAlignment="1" applyProtection="1">
      <alignment horizontal="center" vertical="center"/>
      <protection hidden="1"/>
    </xf>
    <xf numFmtId="0" fontId="0" fillId="8" borderId="50" xfId="0" applyFill="1" applyBorder="1" applyAlignment="1" applyProtection="1">
      <alignment horizontal="center" vertical="center" readingOrder="2"/>
      <protection hidden="1"/>
    </xf>
    <xf numFmtId="0" fontId="0" fillId="8" borderId="30" xfId="0" applyFill="1" applyBorder="1" applyAlignment="1" applyProtection="1">
      <alignment horizontal="center" vertical="center" readingOrder="2"/>
      <protection hidden="1"/>
    </xf>
    <xf numFmtId="0" fontId="22" fillId="17" borderId="72" xfId="0" applyFont="1" applyFill="1" applyBorder="1" applyAlignment="1" applyProtection="1">
      <alignment horizontal="center" vertical="center"/>
      <protection hidden="1"/>
    </xf>
    <xf numFmtId="0" fontId="22" fillId="17" borderId="51" xfId="0" applyFont="1" applyFill="1" applyBorder="1" applyAlignment="1" applyProtection="1">
      <alignment horizontal="center" vertical="center"/>
      <protection hidden="1"/>
    </xf>
    <xf numFmtId="0" fontId="22" fillId="17" borderId="111" xfId="0" applyFont="1" applyFill="1" applyBorder="1" applyAlignment="1" applyProtection="1">
      <alignment horizontal="center" vertical="center"/>
      <protection hidden="1"/>
    </xf>
    <xf numFmtId="172" fontId="0" fillId="8" borderId="51" xfId="0" applyNumberFormat="1" applyFill="1" applyBorder="1" applyAlignment="1" applyProtection="1">
      <alignment horizontal="center" vertical="center"/>
      <protection hidden="1"/>
    </xf>
    <xf numFmtId="172" fontId="0" fillId="8" borderId="30" xfId="0" applyNumberFormat="1" applyFill="1" applyBorder="1" applyAlignment="1" applyProtection="1">
      <alignment horizontal="center" vertical="center"/>
      <protection hidden="1"/>
    </xf>
    <xf numFmtId="0" fontId="7" fillId="0" borderId="98" xfId="0" applyFont="1" applyBorder="1" applyAlignment="1" applyProtection="1">
      <alignment horizontal="center" vertical="center"/>
      <protection hidden="1"/>
    </xf>
    <xf numFmtId="0" fontId="7" fillId="0" borderId="20" xfId="0" applyFont="1" applyBorder="1" applyAlignment="1" applyProtection="1">
      <alignment horizontal="center" vertical="center"/>
      <protection hidden="1"/>
    </xf>
    <xf numFmtId="0" fontId="10" fillId="16" borderId="71" xfId="0" applyFont="1" applyFill="1" applyBorder="1" applyAlignment="1" applyProtection="1">
      <alignment horizontal="center" vertical="center"/>
      <protection hidden="1"/>
    </xf>
    <xf numFmtId="0" fontId="10" fillId="16" borderId="70" xfId="0" applyFont="1" applyFill="1" applyBorder="1" applyAlignment="1" applyProtection="1">
      <alignment horizontal="center" vertical="center"/>
      <protection hidden="1"/>
    </xf>
    <xf numFmtId="0" fontId="10" fillId="16" borderId="73" xfId="0" applyFont="1" applyFill="1" applyBorder="1" applyAlignment="1" applyProtection="1">
      <alignment horizontal="center" vertical="center"/>
      <protection hidden="1"/>
    </xf>
    <xf numFmtId="0" fontId="10" fillId="16" borderId="43" xfId="0" applyFont="1" applyFill="1" applyBorder="1" applyAlignment="1" applyProtection="1">
      <alignment horizontal="center" vertical="center"/>
      <protection hidden="1"/>
    </xf>
    <xf numFmtId="0" fontId="10" fillId="16" borderId="61" xfId="0" applyFont="1" applyFill="1" applyBorder="1" applyAlignment="1" applyProtection="1">
      <alignment horizontal="center" vertical="center"/>
      <protection hidden="1"/>
    </xf>
    <xf numFmtId="0" fontId="10" fillId="16" borderId="42" xfId="0" applyFont="1" applyFill="1" applyBorder="1" applyAlignment="1" applyProtection="1">
      <alignment horizontal="center" vertical="center"/>
      <protection hidden="1"/>
    </xf>
    <xf numFmtId="0" fontId="5" fillId="3" borderId="28" xfId="0" applyFont="1" applyFill="1" applyBorder="1" applyAlignment="1" applyProtection="1">
      <alignment horizontal="center" vertical="center"/>
      <protection hidden="1"/>
    </xf>
    <xf numFmtId="0" fontId="5" fillId="3" borderId="25" xfId="0" applyFont="1" applyFill="1" applyBorder="1" applyAlignment="1" applyProtection="1">
      <alignment horizontal="center" vertical="center"/>
      <protection hidden="1"/>
    </xf>
    <xf numFmtId="0" fontId="5" fillId="3" borderId="24" xfId="0" applyFont="1" applyFill="1" applyBorder="1" applyAlignment="1" applyProtection="1">
      <alignment horizontal="center" vertical="center"/>
      <protection hidden="1"/>
    </xf>
    <xf numFmtId="0" fontId="5" fillId="3" borderId="112" xfId="0" applyFont="1" applyFill="1" applyBorder="1" applyAlignment="1" applyProtection="1">
      <alignment horizontal="center" vertical="center"/>
      <protection hidden="1"/>
    </xf>
    <xf numFmtId="0" fontId="5" fillId="3" borderId="26" xfId="0" applyFont="1" applyFill="1" applyBorder="1" applyAlignment="1" applyProtection="1">
      <alignment horizontal="center" vertical="center"/>
      <protection hidden="1"/>
    </xf>
    <xf numFmtId="0" fontId="5" fillId="3" borderId="88" xfId="0" applyFont="1" applyFill="1" applyBorder="1" applyAlignment="1" applyProtection="1">
      <alignment horizontal="center" vertical="center"/>
      <protection hidden="1"/>
    </xf>
    <xf numFmtId="0" fontId="5" fillId="3" borderId="113" xfId="0" applyFont="1" applyFill="1" applyBorder="1" applyAlignment="1" applyProtection="1">
      <alignment horizontal="center" vertical="center"/>
      <protection hidden="1"/>
    </xf>
    <xf numFmtId="14" fontId="29" fillId="0" borderId="45" xfId="0" applyNumberFormat="1" applyFont="1" applyBorder="1" applyAlignment="1" applyProtection="1">
      <alignment horizontal="center" vertical="center"/>
      <protection locked="0"/>
    </xf>
    <xf numFmtId="14" fontId="29" fillId="0" borderId="22" xfId="0" applyNumberFormat="1" applyFont="1" applyBorder="1" applyAlignment="1" applyProtection="1">
      <alignment horizontal="center" vertical="center"/>
      <protection locked="0"/>
    </xf>
    <xf numFmtId="0" fontId="29" fillId="0" borderId="45" xfId="0" applyFont="1" applyBorder="1" applyAlignment="1" applyProtection="1">
      <alignment horizontal="center" vertical="center" readingOrder="2"/>
      <protection locked="0"/>
    </xf>
    <xf numFmtId="0" fontId="29" fillId="0" borderId="62" xfId="0" applyFont="1" applyBorder="1" applyAlignment="1" applyProtection="1">
      <alignment horizontal="center" vertical="center" readingOrder="2"/>
      <protection locked="0"/>
    </xf>
    <xf numFmtId="0" fontId="29" fillId="0" borderId="22" xfId="0" applyFont="1" applyBorder="1" applyAlignment="1" applyProtection="1">
      <alignment horizontal="center" vertical="center" readingOrder="2"/>
      <protection locked="0"/>
    </xf>
    <xf numFmtId="0" fontId="6" fillId="0" borderId="62" xfId="0" applyFont="1" applyBorder="1" applyAlignment="1" applyProtection="1">
      <alignment horizontal="center" vertical="center" readingOrder="2"/>
      <protection locked="0"/>
    </xf>
    <xf numFmtId="0" fontId="6" fillId="0" borderId="20" xfId="0" applyFont="1" applyBorder="1" applyAlignment="1" applyProtection="1">
      <alignment horizontal="center" vertical="center" readingOrder="2"/>
      <protection locked="0"/>
    </xf>
    <xf numFmtId="164" fontId="23" fillId="0" borderId="98" xfId="0" applyNumberFormat="1" applyFont="1" applyBorder="1" applyAlignment="1" applyProtection="1">
      <alignment horizontal="right" vertical="center"/>
      <protection locked="0"/>
    </xf>
    <xf numFmtId="164" fontId="23" fillId="0" borderId="62" xfId="0" applyNumberFormat="1" applyFont="1" applyBorder="1" applyAlignment="1" applyProtection="1">
      <alignment horizontal="right" vertical="center"/>
      <protection locked="0"/>
    </xf>
    <xf numFmtId="0" fontId="7" fillId="0" borderId="31" xfId="0" applyFont="1" applyBorder="1" applyAlignment="1" applyProtection="1">
      <alignment horizontal="center" vertical="center"/>
      <protection hidden="1"/>
    </xf>
    <xf numFmtId="0" fontId="7" fillId="0" borderId="8" xfId="0" applyFont="1" applyBorder="1" applyAlignment="1" applyProtection="1">
      <alignment horizontal="center" vertical="center"/>
      <protection hidden="1"/>
    </xf>
    <xf numFmtId="0" fontId="7" fillId="0" borderId="7" xfId="0" applyFont="1" applyBorder="1" applyAlignment="1" applyProtection="1">
      <alignment horizontal="center" vertical="center"/>
      <protection hidden="1"/>
    </xf>
    <xf numFmtId="0" fontId="0" fillId="0" borderId="0" xfId="0" applyAlignment="1">
      <alignment horizontal="center" vertical="center" shrinkToFit="1"/>
    </xf>
    <xf numFmtId="166" fontId="4" fillId="0" borderId="0" xfId="0" applyNumberFormat="1" applyFont="1" applyAlignment="1" applyProtection="1">
      <alignment horizontal="center" vertical="center" shrinkToFit="1"/>
      <protection hidden="1"/>
    </xf>
    <xf numFmtId="166" fontId="4" fillId="0" borderId="8" xfId="0" applyNumberFormat="1" applyFont="1" applyBorder="1" applyAlignment="1" applyProtection="1">
      <alignment horizontal="center" vertical="center" shrinkToFit="1"/>
      <protection hidden="1"/>
    </xf>
    <xf numFmtId="166" fontId="4" fillId="0" borderId="7" xfId="0" applyNumberFormat="1" applyFont="1" applyBorder="1" applyAlignment="1" applyProtection="1">
      <alignment horizontal="center" vertical="center" shrinkToFit="1"/>
      <protection hidden="1"/>
    </xf>
    <xf numFmtId="0" fontId="0" fillId="0" borderId="31" xfId="0" applyBorder="1" applyAlignment="1">
      <alignment horizontal="center" vertical="center" shrinkToFit="1"/>
    </xf>
    <xf numFmtId="0" fontId="0" fillId="0" borderId="21" xfId="0" applyBorder="1" applyAlignment="1">
      <alignment horizontal="center" vertical="center" shrinkToFit="1"/>
    </xf>
    <xf numFmtId="0" fontId="25" fillId="0" borderId="15" xfId="0" applyFont="1" applyBorder="1" applyAlignment="1">
      <alignment horizontal="center" vertical="center" shrinkToFit="1" readingOrder="2"/>
    </xf>
    <xf numFmtId="0" fontId="25" fillId="0" borderId="8" xfId="0" applyFont="1" applyBorder="1" applyAlignment="1">
      <alignment horizontal="center" vertical="center" shrinkToFit="1" readingOrder="2"/>
    </xf>
    <xf numFmtId="0" fontId="25" fillId="0" borderId="21" xfId="0" applyFont="1" applyBorder="1" applyAlignment="1">
      <alignment horizontal="center" vertical="center" shrinkToFit="1" readingOrder="2"/>
    </xf>
    <xf numFmtId="166" fontId="10" fillId="0" borderId="80" xfId="0" applyNumberFormat="1" applyFont="1" applyBorder="1" applyAlignment="1" applyProtection="1">
      <alignment horizontal="center" vertical="center" shrinkToFit="1"/>
      <protection locked="0" hidden="1"/>
    </xf>
    <xf numFmtId="166" fontId="10" fillId="0" borderId="97" xfId="0" applyNumberFormat="1" applyFont="1" applyBorder="1" applyAlignment="1" applyProtection="1">
      <alignment horizontal="center" vertical="center" shrinkToFit="1"/>
      <protection locked="0" hidden="1"/>
    </xf>
    <xf numFmtId="166" fontId="10" fillId="0" borderId="81" xfId="0" applyNumberFormat="1" applyFont="1" applyBorder="1" applyAlignment="1" applyProtection="1">
      <alignment horizontal="center" vertical="center" shrinkToFit="1"/>
      <protection locked="0" hidden="1"/>
    </xf>
    <xf numFmtId="166" fontId="10" fillId="0" borderId="31" xfId="0" applyNumberFormat="1" applyFont="1" applyBorder="1" applyAlignment="1" applyProtection="1">
      <alignment horizontal="center" vertical="center" shrinkToFit="1"/>
      <protection locked="0" hidden="1"/>
    </xf>
    <xf numFmtId="166" fontId="10" fillId="0" borderId="8" xfId="0" applyNumberFormat="1" applyFont="1" applyBorder="1" applyAlignment="1" applyProtection="1">
      <alignment horizontal="center" vertical="center" shrinkToFit="1"/>
      <protection locked="0" hidden="1"/>
    </xf>
    <xf numFmtId="166" fontId="10" fillId="0" borderId="7" xfId="0" applyNumberFormat="1" applyFont="1" applyBorder="1" applyAlignment="1" applyProtection="1">
      <alignment horizontal="center" vertical="center" shrinkToFit="1"/>
      <protection locked="0" hidden="1"/>
    </xf>
    <xf numFmtId="1" fontId="7" fillId="0" borderId="95" xfId="0" applyNumberFormat="1" applyFont="1" applyBorder="1" applyAlignment="1" applyProtection="1">
      <alignment horizontal="center" vertical="center" shrinkToFit="1"/>
      <protection locked="0" hidden="1"/>
    </xf>
    <xf numFmtId="1" fontId="7" fillId="0" borderId="47" xfId="0" applyNumberFormat="1" applyFont="1" applyBorder="1" applyAlignment="1" applyProtection="1">
      <alignment horizontal="center" vertical="center" shrinkToFit="1"/>
      <protection locked="0" hidden="1"/>
    </xf>
    <xf numFmtId="165" fontId="0" fillId="3" borderId="114" xfId="0" applyNumberFormat="1" applyFill="1" applyBorder="1" applyAlignment="1" applyProtection="1">
      <alignment horizontal="center" vertical="center" shrinkToFit="1"/>
      <protection hidden="1"/>
    </xf>
    <xf numFmtId="165" fontId="0" fillId="3" borderId="115" xfId="0" applyNumberFormat="1" applyFill="1" applyBorder="1" applyAlignment="1" applyProtection="1">
      <alignment horizontal="center" vertical="center" shrinkToFit="1"/>
      <protection hidden="1"/>
    </xf>
    <xf numFmtId="168" fontId="4" fillId="0" borderId="116" xfId="0" applyNumberFormat="1" applyFont="1" applyBorder="1" applyAlignment="1" applyProtection="1">
      <alignment horizontal="center" vertical="center" shrinkToFit="1"/>
      <protection hidden="1"/>
    </xf>
    <xf numFmtId="168" fontId="4" fillId="0" borderId="117" xfId="0" applyNumberFormat="1" applyFont="1" applyBorder="1" applyAlignment="1" applyProtection="1">
      <alignment horizontal="center" vertical="center" shrinkToFit="1"/>
      <protection hidden="1"/>
    </xf>
    <xf numFmtId="0" fontId="4" fillId="0" borderId="63" xfId="0" applyFont="1" applyBorder="1" applyAlignment="1" applyProtection="1">
      <alignment horizontal="center" vertical="center" shrinkToFit="1"/>
      <protection locked="0"/>
    </xf>
    <xf numFmtId="0" fontId="4" fillId="0" borderId="118" xfId="0" applyFont="1" applyBorder="1" applyAlignment="1" applyProtection="1">
      <alignment horizontal="center" vertical="center" shrinkToFit="1"/>
      <protection locked="0"/>
    </xf>
    <xf numFmtId="0" fontId="4" fillId="0" borderId="64" xfId="0" applyFont="1" applyBorder="1" applyAlignment="1" applyProtection="1">
      <alignment horizontal="center" vertical="center" shrinkToFit="1"/>
      <protection locked="0"/>
    </xf>
    <xf numFmtId="0" fontId="4" fillId="0" borderId="119" xfId="0" applyFont="1" applyBorder="1" applyAlignment="1" applyProtection="1">
      <alignment horizontal="center" vertical="center" shrinkToFit="1"/>
      <protection locked="0"/>
    </xf>
    <xf numFmtId="0" fontId="10" fillId="11" borderId="72" xfId="0" applyFont="1" applyFill="1" applyBorder="1" applyAlignment="1" applyProtection="1">
      <alignment horizontal="center" vertical="center" shrinkToFit="1"/>
      <protection hidden="1"/>
    </xf>
    <xf numFmtId="0" fontId="10" fillId="11" borderId="51" xfId="0" applyFont="1" applyFill="1" applyBorder="1" applyAlignment="1" applyProtection="1">
      <alignment horizontal="center" vertical="center" shrinkToFit="1"/>
      <protection hidden="1"/>
    </xf>
    <xf numFmtId="0" fontId="10" fillId="11" borderId="30" xfId="0" applyFont="1" applyFill="1" applyBorder="1" applyAlignment="1" applyProtection="1">
      <alignment horizontal="center" vertical="center" shrinkToFit="1"/>
      <protection hidden="1"/>
    </xf>
    <xf numFmtId="0" fontId="4" fillId="22" borderId="72" xfId="0" applyFont="1" applyFill="1" applyBorder="1" applyAlignment="1" applyProtection="1">
      <alignment horizontal="center" vertical="center" shrinkToFit="1"/>
      <protection hidden="1"/>
    </xf>
    <xf numFmtId="0" fontId="4" fillId="22" borderId="51" xfId="0" applyFont="1" applyFill="1" applyBorder="1" applyAlignment="1" applyProtection="1">
      <alignment horizontal="center" vertical="center" shrinkToFit="1"/>
      <protection hidden="1"/>
    </xf>
    <xf numFmtId="0" fontId="4" fillId="22" borderId="30" xfId="0" applyFont="1" applyFill="1" applyBorder="1" applyAlignment="1" applyProtection="1">
      <alignment horizontal="center" vertical="center" shrinkToFit="1"/>
      <protection hidden="1"/>
    </xf>
    <xf numFmtId="0" fontId="0" fillId="3" borderId="88" xfId="0" applyFill="1" applyBorder="1" applyAlignment="1" applyProtection="1">
      <alignment horizontal="center" vertical="center" shrinkToFit="1"/>
      <protection hidden="1"/>
    </xf>
    <xf numFmtId="0" fontId="0" fillId="3" borderId="25" xfId="0" applyFill="1" applyBorder="1" applyAlignment="1" applyProtection="1">
      <alignment horizontal="center" vertical="center" shrinkToFit="1"/>
      <protection hidden="1"/>
    </xf>
    <xf numFmtId="0" fontId="0" fillId="3" borderId="26" xfId="0" applyFill="1" applyBorder="1" applyAlignment="1" applyProtection="1">
      <alignment horizontal="center" vertical="center" shrinkToFit="1"/>
      <protection hidden="1"/>
    </xf>
    <xf numFmtId="0" fontId="4" fillId="2" borderId="28" xfId="0" applyFont="1" applyFill="1" applyBorder="1" applyAlignment="1" applyProtection="1">
      <alignment horizontal="center" vertical="center" shrinkToFit="1"/>
      <protection hidden="1"/>
    </xf>
    <xf numFmtId="0" fontId="4" fillId="2" borderId="26" xfId="0" applyFont="1" applyFill="1" applyBorder="1" applyAlignment="1" applyProtection="1">
      <alignment horizontal="center" vertical="center" shrinkToFit="1"/>
      <protection hidden="1"/>
    </xf>
    <xf numFmtId="0" fontId="10" fillId="23" borderId="71" xfId="0" applyFont="1" applyFill="1" applyBorder="1" applyAlignment="1" applyProtection="1">
      <alignment horizontal="center" vertical="center" shrinkToFit="1"/>
      <protection hidden="1"/>
    </xf>
    <xf numFmtId="0" fontId="10" fillId="23" borderId="70" xfId="0" applyFont="1" applyFill="1" applyBorder="1" applyAlignment="1" applyProtection="1">
      <alignment horizontal="center" vertical="center" shrinkToFit="1"/>
      <protection hidden="1"/>
    </xf>
    <xf numFmtId="0" fontId="10" fillId="23" borderId="73" xfId="0" applyFont="1" applyFill="1" applyBorder="1" applyAlignment="1" applyProtection="1">
      <alignment horizontal="center" vertical="center" shrinkToFit="1"/>
      <protection hidden="1"/>
    </xf>
    <xf numFmtId="0" fontId="10" fillId="23" borderId="43" xfId="0" applyFont="1" applyFill="1" applyBorder="1" applyAlignment="1" applyProtection="1">
      <alignment horizontal="center" vertical="center" shrinkToFit="1"/>
      <protection hidden="1"/>
    </xf>
    <xf numFmtId="0" fontId="10" fillId="23" borderId="61" xfId="0" applyFont="1" applyFill="1" applyBorder="1" applyAlignment="1" applyProtection="1">
      <alignment horizontal="center" vertical="center" shrinkToFit="1"/>
      <protection hidden="1"/>
    </xf>
    <xf numFmtId="0" fontId="10" fillId="23" borderId="42" xfId="0" applyFont="1" applyFill="1" applyBorder="1" applyAlignment="1" applyProtection="1">
      <alignment horizontal="center" vertical="center" shrinkToFit="1"/>
      <protection hidden="1"/>
    </xf>
    <xf numFmtId="0" fontId="4" fillId="2" borderId="76" xfId="0" applyFont="1" applyFill="1" applyBorder="1" applyAlignment="1" applyProtection="1">
      <alignment horizontal="center" vertical="center" shrinkToFit="1"/>
      <protection hidden="1"/>
    </xf>
    <xf numFmtId="0" fontId="4" fillId="2" borderId="120" xfId="0" applyFont="1" applyFill="1" applyBorder="1" applyAlignment="1" applyProtection="1">
      <alignment horizontal="center" vertical="center" shrinkToFit="1"/>
      <protection hidden="1"/>
    </xf>
    <xf numFmtId="0" fontId="10" fillId="7" borderId="72" xfId="0" applyFont="1" applyFill="1" applyBorder="1" applyAlignment="1" applyProtection="1">
      <alignment horizontal="center" vertical="center" shrinkToFit="1"/>
      <protection hidden="1"/>
    </xf>
    <xf numFmtId="0" fontId="10" fillId="7" borderId="30" xfId="0" applyFont="1" applyFill="1" applyBorder="1" applyAlignment="1" applyProtection="1">
      <alignment horizontal="center" vertical="center" shrinkToFit="1"/>
      <protection hidden="1"/>
    </xf>
    <xf numFmtId="0" fontId="10" fillId="7" borderId="51" xfId="0" applyFont="1" applyFill="1" applyBorder="1" applyAlignment="1" applyProtection="1">
      <alignment horizontal="center" vertical="center" shrinkToFit="1"/>
      <protection hidden="1"/>
    </xf>
    <xf numFmtId="165" fontId="9" fillId="0" borderId="45" xfId="0" applyNumberFormat="1" applyFont="1" applyBorder="1" applyAlignment="1" applyProtection="1">
      <alignment horizontal="center" vertical="center" shrinkToFit="1"/>
      <protection locked="0" hidden="1"/>
    </xf>
    <xf numFmtId="165" fontId="9" fillId="0" borderId="20" xfId="0" applyNumberFormat="1" applyFont="1" applyBorder="1" applyAlignment="1" applyProtection="1">
      <alignment horizontal="center" vertical="center" shrinkToFit="1"/>
      <protection locked="0" hidden="1"/>
    </xf>
    <xf numFmtId="168" fontId="13" fillId="3" borderId="45" xfId="0" applyNumberFormat="1" applyFont="1" applyFill="1" applyBorder="1" applyAlignment="1" applyProtection="1">
      <alignment horizontal="center" vertical="center" shrinkToFit="1"/>
      <protection hidden="1"/>
    </xf>
    <xf numFmtId="168" fontId="13" fillId="3" borderId="22" xfId="0" applyNumberFormat="1" applyFont="1" applyFill="1" applyBorder="1" applyAlignment="1" applyProtection="1">
      <alignment horizontal="center" vertical="center" shrinkToFit="1"/>
      <protection hidden="1"/>
    </xf>
    <xf numFmtId="0" fontId="7" fillId="19" borderId="28" xfId="0" applyFont="1" applyFill="1" applyBorder="1" applyAlignment="1">
      <alignment horizontal="center" vertical="center" shrinkToFit="1"/>
    </xf>
    <xf numFmtId="0" fontId="7" fillId="19" borderId="24" xfId="0" applyFont="1" applyFill="1" applyBorder="1" applyAlignment="1">
      <alignment horizontal="center" vertical="center" shrinkToFit="1"/>
    </xf>
    <xf numFmtId="168" fontId="10" fillId="0" borderId="80" xfId="0" applyNumberFormat="1" applyFont="1" applyBorder="1" applyAlignment="1">
      <alignment horizontal="center" vertical="center" shrinkToFit="1"/>
    </xf>
    <xf numFmtId="168" fontId="10" fillId="0" borderId="81" xfId="0" applyNumberFormat="1" applyFont="1" applyBorder="1" applyAlignment="1">
      <alignment horizontal="center" vertical="center" shrinkToFit="1"/>
    </xf>
    <xf numFmtId="168" fontId="10" fillId="0" borderId="9" xfId="0" applyNumberFormat="1" applyFont="1" applyBorder="1" applyAlignment="1">
      <alignment horizontal="center" vertical="center" shrinkToFit="1"/>
    </xf>
    <xf numFmtId="168" fontId="10" fillId="0" borderId="10" xfId="0" applyNumberFormat="1" applyFont="1" applyBorder="1" applyAlignment="1">
      <alignment horizontal="center" vertical="center" shrinkToFit="1"/>
    </xf>
    <xf numFmtId="168" fontId="10" fillId="0" borderId="31" xfId="0" applyNumberFormat="1" applyFont="1" applyBorder="1" applyAlignment="1">
      <alignment horizontal="center" vertical="center" shrinkToFit="1"/>
    </xf>
    <xf numFmtId="168" fontId="10" fillId="0" borderId="7" xfId="0" applyNumberFormat="1" applyFont="1" applyBorder="1" applyAlignment="1">
      <alignment horizontal="center" vertical="center" shrinkToFit="1"/>
    </xf>
    <xf numFmtId="165" fontId="10" fillId="0" borderId="80" xfId="0" applyNumberFormat="1" applyFont="1" applyBorder="1" applyAlignment="1">
      <alignment horizontal="center" vertical="center" shrinkToFit="1"/>
    </xf>
    <xf numFmtId="165" fontId="10" fillId="0" borderId="81" xfId="0" applyNumberFormat="1" applyFont="1" applyBorder="1" applyAlignment="1">
      <alignment horizontal="center" vertical="center" shrinkToFit="1"/>
    </xf>
    <xf numFmtId="165" fontId="10" fillId="0" borderId="31" xfId="0" applyNumberFormat="1" applyFont="1" applyBorder="1" applyAlignment="1">
      <alignment horizontal="center" vertical="center" shrinkToFit="1"/>
    </xf>
    <xf numFmtId="165" fontId="10" fillId="0" borderId="7" xfId="0" applyNumberFormat="1" applyFont="1" applyBorder="1" applyAlignment="1">
      <alignment horizontal="center" vertical="center" shrinkToFit="1"/>
    </xf>
    <xf numFmtId="0" fontId="4" fillId="2" borderId="25" xfId="0" applyFont="1" applyFill="1" applyBorder="1" applyAlignment="1" applyProtection="1">
      <alignment horizontal="center" vertical="center" shrinkToFit="1"/>
      <protection hidden="1"/>
    </xf>
    <xf numFmtId="0" fontId="4" fillId="2" borderId="24" xfId="0" applyFont="1" applyFill="1" applyBorder="1" applyAlignment="1" applyProtection="1">
      <alignment horizontal="center" vertical="center" shrinkToFit="1"/>
      <protection hidden="1"/>
    </xf>
    <xf numFmtId="0" fontId="10" fillId="24" borderId="72" xfId="0" applyFont="1" applyFill="1" applyBorder="1" applyAlignment="1" applyProtection="1">
      <alignment horizontal="center" vertical="center" shrinkToFit="1"/>
      <protection hidden="1"/>
    </xf>
    <xf numFmtId="0" fontId="10" fillId="24" borderId="51" xfId="0" applyFont="1" applyFill="1" applyBorder="1" applyAlignment="1" applyProtection="1">
      <alignment horizontal="center" vertical="center" shrinkToFit="1"/>
      <protection hidden="1"/>
    </xf>
    <xf numFmtId="0" fontId="10" fillId="24" borderId="30" xfId="0" applyFont="1" applyFill="1" applyBorder="1" applyAlignment="1" applyProtection="1">
      <alignment horizontal="center" vertical="center" shrinkToFit="1"/>
      <protection hidden="1"/>
    </xf>
    <xf numFmtId="168" fontId="10" fillId="0" borderId="121" xfId="0" applyNumberFormat="1" applyFont="1" applyBorder="1" applyAlignment="1" applyProtection="1">
      <alignment horizontal="center" vertical="center" shrinkToFit="1"/>
      <protection locked="0"/>
    </xf>
    <xf numFmtId="168" fontId="10" fillId="0" borderId="33" xfId="0" applyNumberFormat="1" applyFont="1" applyBorder="1" applyAlignment="1" applyProtection="1">
      <alignment horizontal="center" vertical="center" shrinkToFit="1"/>
      <protection locked="0"/>
    </xf>
    <xf numFmtId="167" fontId="10" fillId="3" borderId="122" xfId="2" applyNumberFormat="1" applyFont="1" applyFill="1" applyBorder="1" applyAlignment="1" applyProtection="1">
      <alignment horizontal="center" vertical="center" shrinkToFit="1"/>
    </xf>
    <xf numFmtId="167" fontId="10" fillId="3" borderId="19" xfId="2" applyNumberFormat="1" applyFont="1" applyFill="1" applyBorder="1" applyAlignment="1" applyProtection="1">
      <alignment horizontal="center" vertical="center" shrinkToFit="1"/>
    </xf>
    <xf numFmtId="0" fontId="4" fillId="2" borderId="123" xfId="0" applyFont="1" applyFill="1" applyBorder="1" applyAlignment="1" applyProtection="1">
      <alignment horizontal="center" vertical="center" shrinkToFit="1"/>
      <protection hidden="1"/>
    </xf>
    <xf numFmtId="0" fontId="4" fillId="2" borderId="87" xfId="0" applyFont="1" applyFill="1" applyBorder="1" applyAlignment="1" applyProtection="1">
      <alignment horizontal="center" vertical="center" shrinkToFit="1"/>
      <protection hidden="1"/>
    </xf>
    <xf numFmtId="0" fontId="4" fillId="2" borderId="103" xfId="0" applyFont="1" applyFill="1" applyBorder="1" applyAlignment="1" applyProtection="1">
      <alignment horizontal="center" vertical="center" shrinkToFit="1"/>
      <protection hidden="1"/>
    </xf>
    <xf numFmtId="0" fontId="4" fillId="2" borderId="44" xfId="0" applyFont="1" applyFill="1" applyBorder="1" applyAlignment="1" applyProtection="1">
      <alignment horizontal="center" vertical="center" shrinkToFit="1"/>
      <protection hidden="1"/>
    </xf>
    <xf numFmtId="0" fontId="4" fillId="2" borderId="78" xfId="0" applyFont="1" applyFill="1" applyBorder="1" applyAlignment="1" applyProtection="1">
      <alignment horizontal="center" vertical="center" shrinkToFit="1"/>
      <protection hidden="1"/>
    </xf>
    <xf numFmtId="0" fontId="4" fillId="2" borderId="27" xfId="0" applyFont="1" applyFill="1" applyBorder="1" applyAlignment="1" applyProtection="1">
      <alignment horizontal="center" vertical="center" shrinkToFit="1"/>
      <protection hidden="1"/>
    </xf>
    <xf numFmtId="0" fontId="4" fillId="2" borderId="107" xfId="0" applyFont="1" applyFill="1" applyBorder="1" applyAlignment="1" applyProtection="1">
      <alignment horizontal="center" vertical="center" shrinkToFit="1"/>
      <protection hidden="1"/>
    </xf>
    <xf numFmtId="0" fontId="4" fillId="2" borderId="71" xfId="0" applyFont="1" applyFill="1" applyBorder="1" applyAlignment="1" applyProtection="1">
      <alignment horizontal="center" vertical="center" shrinkToFit="1"/>
      <protection hidden="1"/>
    </xf>
    <xf numFmtId="0" fontId="4" fillId="2" borderId="73" xfId="0" applyFont="1" applyFill="1" applyBorder="1" applyAlignment="1" applyProtection="1">
      <alignment horizontal="center" vertical="center" shrinkToFit="1"/>
      <protection hidden="1"/>
    </xf>
    <xf numFmtId="0" fontId="4" fillId="2" borderId="43" xfId="0" applyFont="1" applyFill="1" applyBorder="1" applyAlignment="1" applyProtection="1">
      <alignment horizontal="center" vertical="center" shrinkToFit="1"/>
      <protection hidden="1"/>
    </xf>
    <xf numFmtId="0" fontId="4" fillId="2" borderId="42" xfId="0" applyFont="1" applyFill="1" applyBorder="1" applyAlignment="1" applyProtection="1">
      <alignment horizontal="center" vertical="center" shrinkToFit="1"/>
      <protection hidden="1"/>
    </xf>
    <xf numFmtId="0" fontId="10" fillId="19" borderId="71" xfId="0" applyFont="1" applyFill="1" applyBorder="1" applyAlignment="1">
      <alignment horizontal="center" vertical="center" shrinkToFit="1"/>
    </xf>
    <xf numFmtId="0" fontId="10" fillId="19" borderId="73" xfId="0" applyFont="1" applyFill="1" applyBorder="1" applyAlignment="1">
      <alignment horizontal="center" vertical="center" shrinkToFit="1"/>
    </xf>
    <xf numFmtId="0" fontId="10" fillId="19" borderId="43" xfId="0" applyFont="1" applyFill="1" applyBorder="1" applyAlignment="1">
      <alignment horizontal="center" vertical="center" shrinkToFit="1"/>
    </xf>
    <xf numFmtId="0" fontId="10" fillId="19" borderId="42" xfId="0" applyFont="1" applyFill="1" applyBorder="1" applyAlignment="1">
      <alignment horizontal="center" vertical="center" shrinkToFit="1"/>
    </xf>
    <xf numFmtId="0" fontId="4" fillId="0" borderId="124" xfId="0" applyFont="1" applyBorder="1" applyAlignment="1" applyProtection="1">
      <alignment horizontal="center" vertical="center" shrinkToFit="1" readingOrder="2"/>
      <protection locked="0"/>
    </xf>
    <xf numFmtId="0" fontId="4" fillId="0" borderId="125" xfId="0" applyFont="1" applyBorder="1" applyAlignment="1" applyProtection="1">
      <alignment horizontal="center" vertical="center" shrinkToFit="1" readingOrder="2"/>
      <protection locked="0"/>
    </xf>
    <xf numFmtId="0" fontId="4" fillId="0" borderId="31" xfId="0" applyFont="1" applyBorder="1" applyAlignment="1" applyProtection="1">
      <alignment horizontal="center" vertical="center" shrinkToFit="1" readingOrder="2"/>
      <protection locked="0"/>
    </xf>
    <xf numFmtId="0" fontId="4" fillId="0" borderId="7" xfId="0" applyFont="1" applyBorder="1" applyAlignment="1" applyProtection="1">
      <alignment horizontal="center" vertical="center" shrinkToFit="1" readingOrder="2"/>
      <protection locked="0"/>
    </xf>
    <xf numFmtId="0" fontId="4" fillId="3" borderId="126" xfId="0" applyFont="1" applyFill="1" applyBorder="1" applyAlignment="1" applyProtection="1">
      <alignment horizontal="center" vertical="center" shrinkToFit="1"/>
      <protection hidden="1"/>
    </xf>
    <xf numFmtId="0" fontId="4" fillId="3" borderId="127" xfId="0" applyFont="1" applyFill="1" applyBorder="1" applyAlignment="1" applyProtection="1">
      <alignment horizontal="center" vertical="center" shrinkToFit="1"/>
      <protection hidden="1"/>
    </xf>
    <xf numFmtId="0" fontId="10" fillId="6" borderId="72" xfId="0" applyFont="1" applyFill="1" applyBorder="1" applyAlignment="1" applyProtection="1">
      <alignment horizontal="center" vertical="center" shrinkToFit="1"/>
      <protection hidden="1"/>
    </xf>
    <xf numFmtId="0" fontId="10" fillId="6" borderId="51" xfId="0" applyFont="1" applyFill="1" applyBorder="1" applyAlignment="1" applyProtection="1">
      <alignment horizontal="center" vertical="center" shrinkToFit="1"/>
      <protection hidden="1"/>
    </xf>
    <xf numFmtId="0" fontId="10" fillId="6" borderId="30" xfId="0" applyFont="1" applyFill="1" applyBorder="1" applyAlignment="1" applyProtection="1">
      <alignment horizontal="center" vertical="center" shrinkToFit="1"/>
      <protection hidden="1"/>
    </xf>
    <xf numFmtId="0" fontId="7" fillId="0" borderId="62" xfId="0" applyFont="1" applyBorder="1" applyAlignment="1" applyProtection="1">
      <alignment horizontal="center" vertical="center" shrinkToFit="1"/>
      <protection hidden="1"/>
    </xf>
    <xf numFmtId="168" fontId="13" fillId="0" borderId="45" xfId="0" applyNumberFormat="1" applyFont="1" applyBorder="1" applyAlignment="1" applyProtection="1">
      <alignment horizontal="center" vertical="center" shrinkToFit="1"/>
      <protection locked="0" hidden="1"/>
    </xf>
    <xf numFmtId="168" fontId="13" fillId="0" borderId="22" xfId="0" applyNumberFormat="1" applyFont="1" applyBorder="1" applyAlignment="1" applyProtection="1">
      <alignment horizontal="center" vertical="center" shrinkToFit="1"/>
      <protection locked="0" hidden="1"/>
    </xf>
    <xf numFmtId="0" fontId="10" fillId="7" borderId="123" xfId="0" applyFont="1" applyFill="1" applyBorder="1" applyAlignment="1">
      <alignment horizontal="center" vertical="center" shrinkToFit="1"/>
    </xf>
    <xf numFmtId="0" fontId="10" fillId="7" borderId="87" xfId="0" applyFont="1" applyFill="1" applyBorder="1" applyAlignment="1">
      <alignment horizontal="center" vertical="center" shrinkToFit="1"/>
    </xf>
    <xf numFmtId="0" fontId="4" fillId="5" borderId="28" xfId="0" applyFont="1" applyFill="1" applyBorder="1" applyAlignment="1" applyProtection="1">
      <alignment horizontal="center" vertical="center" shrinkToFit="1"/>
      <protection hidden="1"/>
    </xf>
    <xf numFmtId="0" fontId="4" fillId="5" borderId="25" xfId="0" applyFont="1" applyFill="1" applyBorder="1" applyAlignment="1" applyProtection="1">
      <alignment horizontal="center" vertical="center" shrinkToFit="1"/>
      <protection hidden="1"/>
    </xf>
    <xf numFmtId="0" fontId="4" fillId="5" borderId="24" xfId="0" applyFont="1" applyFill="1" applyBorder="1" applyAlignment="1" applyProtection="1">
      <alignment horizontal="center" vertical="center" shrinkToFit="1"/>
      <protection hidden="1"/>
    </xf>
    <xf numFmtId="0" fontId="4" fillId="5" borderId="88" xfId="0" applyFont="1" applyFill="1" applyBorder="1" applyAlignment="1" applyProtection="1">
      <alignment horizontal="center" vertical="center" shrinkToFit="1"/>
      <protection hidden="1"/>
    </xf>
    <xf numFmtId="0" fontId="7" fillId="0" borderId="45" xfId="0" applyFont="1" applyBorder="1" applyAlignment="1" applyProtection="1">
      <alignment horizontal="center" vertical="center" shrinkToFit="1" readingOrder="2"/>
      <protection locked="0"/>
    </xf>
    <xf numFmtId="0" fontId="7" fillId="0" borderId="62" xfId="0" applyFont="1" applyBorder="1" applyAlignment="1" applyProtection="1">
      <alignment horizontal="center" vertical="center" shrinkToFit="1" readingOrder="2"/>
      <protection locked="0"/>
    </xf>
    <xf numFmtId="0" fontId="7" fillId="0" borderId="22" xfId="0" applyFont="1" applyBorder="1" applyAlignment="1" applyProtection="1">
      <alignment horizontal="center" vertical="center" shrinkToFit="1" readingOrder="2"/>
      <protection locked="0"/>
    </xf>
    <xf numFmtId="0" fontId="7" fillId="0" borderId="98" xfId="0" applyFont="1" applyBorder="1" applyAlignment="1" applyProtection="1">
      <alignment horizontal="center" vertical="center" shrinkToFit="1" readingOrder="2"/>
      <protection locked="0"/>
    </xf>
    <xf numFmtId="0" fontId="7" fillId="0" borderId="80" xfId="0" applyFont="1" applyBorder="1" applyAlignment="1" applyProtection="1">
      <alignment horizontal="center" vertical="center" shrinkToFit="1"/>
      <protection locked="0" hidden="1"/>
    </xf>
    <xf numFmtId="0" fontId="7" fillId="0" borderId="81" xfId="0" applyFont="1" applyBorder="1" applyAlignment="1" applyProtection="1">
      <alignment horizontal="center" vertical="center" shrinkToFit="1"/>
      <protection locked="0" hidden="1"/>
    </xf>
    <xf numFmtId="0" fontId="7" fillId="0" borderId="95" xfId="0" applyFont="1" applyBorder="1" applyAlignment="1" applyProtection="1">
      <alignment horizontal="center" vertical="center" shrinkToFit="1"/>
      <protection locked="0" hidden="1"/>
    </xf>
    <xf numFmtId="0" fontId="7" fillId="0" borderId="29" xfId="0" applyFont="1" applyBorder="1" applyAlignment="1" applyProtection="1">
      <alignment horizontal="center" vertical="center" shrinkToFit="1"/>
      <protection locked="0" hidden="1"/>
    </xf>
    <xf numFmtId="0" fontId="7" fillId="0" borderId="47" xfId="0" applyFont="1" applyBorder="1" applyAlignment="1" applyProtection="1">
      <alignment horizontal="center" vertical="center" shrinkToFit="1"/>
      <protection locked="0" hidden="1"/>
    </xf>
    <xf numFmtId="0" fontId="7" fillId="0" borderId="95" xfId="0" applyFont="1" applyBorder="1" applyAlignment="1" applyProtection="1">
      <alignment horizontal="center" vertical="center" shrinkToFit="1"/>
      <protection hidden="1"/>
    </xf>
    <xf numFmtId="0" fontId="7" fillId="0" borderId="29" xfId="0" applyFont="1" applyBorder="1" applyAlignment="1" applyProtection="1">
      <alignment horizontal="center" vertical="center" shrinkToFit="1"/>
      <protection hidden="1"/>
    </xf>
    <xf numFmtId="0" fontId="7" fillId="0" borderId="47" xfId="0" applyFont="1" applyBorder="1" applyAlignment="1" applyProtection="1">
      <alignment horizontal="center" vertical="center" shrinkToFit="1"/>
      <protection hidden="1"/>
    </xf>
    <xf numFmtId="0" fontId="7" fillId="0" borderId="124" xfId="0" applyFont="1" applyBorder="1" applyAlignment="1" applyProtection="1">
      <alignment horizontal="center" vertical="center" shrinkToFit="1"/>
      <protection locked="0" hidden="1"/>
    </xf>
    <xf numFmtId="0" fontId="7" fillId="0" borderId="125" xfId="0" applyFont="1" applyBorder="1" applyAlignment="1" applyProtection="1">
      <alignment horizontal="center" vertical="center" shrinkToFit="1"/>
      <protection locked="0" hidden="1"/>
    </xf>
    <xf numFmtId="0" fontId="7" fillId="0" borderId="9" xfId="0" applyFont="1" applyBorder="1" applyAlignment="1" applyProtection="1">
      <alignment horizontal="center" vertical="center" shrinkToFit="1"/>
      <protection locked="0" hidden="1"/>
    </xf>
    <xf numFmtId="0" fontId="7" fillId="0" borderId="10" xfId="0" applyFont="1" applyBorder="1" applyAlignment="1" applyProtection="1">
      <alignment horizontal="center" vertical="center" shrinkToFit="1"/>
      <protection locked="0" hidden="1"/>
    </xf>
    <xf numFmtId="0" fontId="7" fillId="0" borderId="31" xfId="0" applyFont="1" applyBorder="1" applyAlignment="1" applyProtection="1">
      <alignment horizontal="center" vertical="center" shrinkToFit="1"/>
      <protection locked="0" hidden="1"/>
    </xf>
    <xf numFmtId="0" fontId="7" fillId="0" borderId="7" xfId="0" applyFont="1" applyBorder="1" applyAlignment="1" applyProtection="1">
      <alignment horizontal="center" vertical="center" shrinkToFit="1"/>
      <protection locked="0" hidden="1"/>
    </xf>
    <xf numFmtId="0" fontId="10" fillId="7" borderId="28" xfId="0" applyFont="1" applyFill="1" applyBorder="1" applyAlignment="1">
      <alignment horizontal="center" vertical="center" shrinkToFit="1"/>
    </xf>
    <xf numFmtId="0" fontId="10" fillId="7" borderId="24" xfId="0" applyFont="1" applyFill="1" applyBorder="1" applyAlignment="1">
      <alignment horizontal="center" vertical="center" shrinkToFit="1"/>
    </xf>
    <xf numFmtId="0" fontId="30" fillId="21" borderId="71" xfId="0" applyFont="1" applyFill="1" applyBorder="1" applyAlignment="1">
      <alignment horizontal="center" vertical="center" shrinkToFit="1"/>
    </xf>
    <xf numFmtId="0" fontId="30" fillId="21" borderId="70" xfId="0" applyFont="1" applyFill="1" applyBorder="1" applyAlignment="1">
      <alignment horizontal="center" vertical="center" shrinkToFit="1"/>
    </xf>
    <xf numFmtId="0" fontId="30" fillId="21" borderId="73" xfId="0" applyFont="1" applyFill="1" applyBorder="1" applyAlignment="1">
      <alignment horizontal="center" vertical="center" shrinkToFit="1"/>
    </xf>
    <xf numFmtId="0" fontId="30" fillId="21" borderId="31" xfId="0" applyFont="1" applyFill="1" applyBorder="1" applyAlignment="1">
      <alignment horizontal="center" vertical="center" shrinkToFit="1"/>
    </xf>
    <xf numFmtId="0" fontId="30" fillId="21" borderId="8" xfId="0" applyFont="1" applyFill="1" applyBorder="1" applyAlignment="1">
      <alignment horizontal="center" vertical="center" shrinkToFit="1"/>
    </xf>
    <xf numFmtId="0" fontId="30" fillId="21" borderId="7" xfId="0" applyFont="1" applyFill="1" applyBorder="1" applyAlignment="1">
      <alignment horizontal="center" vertical="center" shrinkToFit="1"/>
    </xf>
    <xf numFmtId="0" fontId="10" fillId="16" borderId="71" xfId="0" applyFont="1" applyFill="1" applyBorder="1" applyAlignment="1" applyProtection="1">
      <alignment horizontal="center" vertical="center" shrinkToFit="1"/>
      <protection hidden="1"/>
    </xf>
    <xf numFmtId="0" fontId="10" fillId="16" borderId="73" xfId="0" applyFont="1" applyFill="1" applyBorder="1" applyAlignment="1" applyProtection="1">
      <alignment horizontal="center" vertical="center" shrinkToFit="1"/>
      <protection hidden="1"/>
    </xf>
    <xf numFmtId="0" fontId="10" fillId="16" borderId="43" xfId="0" applyFont="1" applyFill="1" applyBorder="1" applyAlignment="1" applyProtection="1">
      <alignment horizontal="center" vertical="center" shrinkToFit="1"/>
      <protection hidden="1"/>
    </xf>
    <xf numFmtId="0" fontId="10" fillId="16" borderId="42" xfId="0" applyFont="1" applyFill="1" applyBorder="1" applyAlignment="1" applyProtection="1">
      <alignment horizontal="center" vertical="center" shrinkToFit="1"/>
      <protection hidden="1"/>
    </xf>
    <xf numFmtId="14" fontId="10" fillId="0" borderId="80" xfId="0" applyNumberFormat="1" applyFont="1" applyBorder="1" applyAlignment="1" applyProtection="1">
      <alignment horizontal="center" vertical="center" shrinkToFit="1"/>
      <protection locked="0"/>
    </xf>
    <xf numFmtId="14" fontId="10" fillId="0" borderId="81" xfId="0" applyNumberFormat="1" applyFont="1" applyBorder="1" applyAlignment="1" applyProtection="1">
      <alignment horizontal="center" vertical="center" shrinkToFit="1"/>
      <protection locked="0"/>
    </xf>
    <xf numFmtId="14" fontId="10" fillId="0" borderId="31" xfId="0" applyNumberFormat="1" applyFont="1" applyBorder="1" applyAlignment="1" applyProtection="1">
      <alignment horizontal="center" vertical="center" shrinkToFit="1"/>
      <protection locked="0"/>
    </xf>
    <xf numFmtId="14" fontId="10" fillId="0" borderId="7" xfId="0" applyNumberFormat="1" applyFont="1" applyBorder="1" applyAlignment="1" applyProtection="1">
      <alignment horizontal="center" vertical="center" shrinkToFit="1"/>
      <protection locked="0"/>
    </xf>
    <xf numFmtId="0" fontId="10" fillId="16" borderId="72" xfId="0" applyFont="1" applyFill="1" applyBorder="1" applyAlignment="1" applyProtection="1">
      <alignment horizontal="center" vertical="center" shrinkToFit="1"/>
      <protection hidden="1"/>
    </xf>
    <xf numFmtId="0" fontId="10" fillId="16" borderId="51" xfId="0" applyFont="1" applyFill="1" applyBorder="1" applyAlignment="1" applyProtection="1">
      <alignment horizontal="center" vertical="center" shrinkToFit="1"/>
      <protection hidden="1"/>
    </xf>
    <xf numFmtId="0" fontId="10" fillId="16" borderId="30" xfId="0" applyFont="1" applyFill="1" applyBorder="1" applyAlignment="1" applyProtection="1">
      <alignment horizontal="center" vertical="center" shrinkToFit="1"/>
      <protection hidden="1"/>
    </xf>
    <xf numFmtId="0" fontId="10" fillId="25" borderId="72" xfId="0" applyFont="1" applyFill="1" applyBorder="1" applyAlignment="1" applyProtection="1">
      <alignment horizontal="center" vertical="center" shrinkToFit="1"/>
      <protection hidden="1"/>
    </xf>
    <xf numFmtId="0" fontId="10" fillId="25" borderId="51" xfId="0" applyFont="1" applyFill="1" applyBorder="1" applyAlignment="1" applyProtection="1">
      <alignment horizontal="center" vertical="center" shrinkToFit="1"/>
      <protection hidden="1"/>
    </xf>
    <xf numFmtId="0" fontId="10" fillId="25" borderId="30" xfId="0" applyFont="1" applyFill="1" applyBorder="1" applyAlignment="1" applyProtection="1">
      <alignment horizontal="center" vertical="center" shrinkToFit="1"/>
      <protection hidden="1"/>
    </xf>
    <xf numFmtId="0" fontId="7" fillId="0" borderId="45" xfId="0" applyFont="1" applyBorder="1" applyAlignment="1" applyProtection="1">
      <alignment horizontal="center" vertical="center" shrinkToFit="1"/>
      <protection locked="0"/>
    </xf>
    <xf numFmtId="0" fontId="7" fillId="0" borderId="62"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10" fillId="3" borderId="72" xfId="0" applyFont="1" applyFill="1" applyBorder="1" applyAlignment="1">
      <alignment horizontal="center" vertical="center"/>
    </xf>
    <xf numFmtId="0" fontId="10" fillId="3" borderId="51" xfId="0" applyFont="1" applyFill="1" applyBorder="1" applyAlignment="1">
      <alignment horizontal="center" vertical="center"/>
    </xf>
    <xf numFmtId="0" fontId="10" fillId="3" borderId="30" xfId="0" applyFont="1" applyFill="1" applyBorder="1" applyAlignment="1">
      <alignment horizontal="center" vertical="center"/>
    </xf>
    <xf numFmtId="0" fontId="30" fillId="16" borderId="72" xfId="0" applyFont="1" applyFill="1" applyBorder="1" applyAlignment="1">
      <alignment horizontal="center" vertical="center"/>
    </xf>
    <xf numFmtId="0" fontId="30" fillId="16" borderId="51" xfId="0" applyFont="1" applyFill="1" applyBorder="1" applyAlignment="1">
      <alignment horizontal="center" vertical="center"/>
    </xf>
    <xf numFmtId="0" fontId="30" fillId="16" borderId="30" xfId="0" applyFont="1" applyFill="1" applyBorder="1" applyAlignment="1">
      <alignment horizontal="center" vertical="center"/>
    </xf>
    <xf numFmtId="0" fontId="10" fillId="16" borderId="72" xfId="0" applyFont="1" applyFill="1" applyBorder="1" applyAlignment="1" applyProtection="1">
      <alignment horizontal="center" vertical="center"/>
      <protection hidden="1"/>
    </xf>
    <xf numFmtId="0" fontId="10" fillId="16" borderId="51" xfId="0" applyFont="1" applyFill="1" applyBorder="1" applyAlignment="1" applyProtection="1">
      <alignment horizontal="center" vertical="center"/>
      <protection hidden="1"/>
    </xf>
    <xf numFmtId="0" fontId="10" fillId="16" borderId="30" xfId="0" applyFont="1" applyFill="1" applyBorder="1" applyAlignment="1" applyProtection="1">
      <alignment horizontal="center" vertical="center"/>
      <protection hidden="1"/>
    </xf>
    <xf numFmtId="0" fontId="10" fillId="25" borderId="71" xfId="0" applyFont="1" applyFill="1" applyBorder="1" applyAlignment="1" applyProtection="1">
      <alignment horizontal="center" vertical="center"/>
      <protection hidden="1"/>
    </xf>
    <xf numFmtId="0" fontId="10" fillId="25" borderId="70" xfId="0" applyFont="1" applyFill="1" applyBorder="1" applyAlignment="1" applyProtection="1">
      <alignment horizontal="center" vertical="center"/>
      <protection hidden="1"/>
    </xf>
    <xf numFmtId="0" fontId="10" fillId="25" borderId="73" xfId="0" applyFont="1" applyFill="1" applyBorder="1" applyAlignment="1" applyProtection="1">
      <alignment horizontal="center" vertical="center"/>
      <protection hidden="1"/>
    </xf>
    <xf numFmtId="0" fontId="31" fillId="21" borderId="71" xfId="0" applyFont="1" applyFill="1" applyBorder="1" applyAlignment="1">
      <alignment horizontal="center" vertical="center"/>
    </xf>
    <xf numFmtId="0" fontId="31" fillId="21" borderId="70" xfId="0" applyFont="1" applyFill="1" applyBorder="1" applyAlignment="1">
      <alignment horizontal="center" vertical="center"/>
    </xf>
    <xf numFmtId="0" fontId="31" fillId="21" borderId="73" xfId="0" applyFont="1" applyFill="1" applyBorder="1" applyAlignment="1">
      <alignment horizontal="center" vertical="center"/>
    </xf>
    <xf numFmtId="0" fontId="31" fillId="21" borderId="31" xfId="0" applyFont="1" applyFill="1" applyBorder="1" applyAlignment="1">
      <alignment horizontal="center" vertical="center"/>
    </xf>
    <xf numFmtId="0" fontId="31" fillId="21" borderId="8" xfId="0" applyFont="1" applyFill="1" applyBorder="1" applyAlignment="1">
      <alignment horizontal="center" vertical="center"/>
    </xf>
    <xf numFmtId="0" fontId="31" fillId="21" borderId="7" xfId="0" applyFont="1" applyFill="1" applyBorder="1" applyAlignment="1">
      <alignment horizontal="center" vertical="center"/>
    </xf>
    <xf numFmtId="0" fontId="4" fillId="5" borderId="28" xfId="0" applyFont="1" applyFill="1" applyBorder="1" applyAlignment="1" applyProtection="1">
      <alignment horizontal="center" vertical="center"/>
      <protection hidden="1"/>
    </xf>
    <xf numFmtId="0" fontId="4" fillId="5" borderId="25" xfId="0" applyFont="1" applyFill="1" applyBorder="1" applyAlignment="1" applyProtection="1">
      <alignment horizontal="center" vertical="center"/>
      <protection hidden="1"/>
    </xf>
    <xf numFmtId="0" fontId="4" fillId="5" borderId="24" xfId="0" applyFont="1" applyFill="1" applyBorder="1" applyAlignment="1" applyProtection="1">
      <alignment horizontal="center" vertical="center"/>
      <protection hidden="1"/>
    </xf>
    <xf numFmtId="0" fontId="4" fillId="5" borderId="109" xfId="0" applyFont="1" applyFill="1" applyBorder="1" applyAlignment="1" applyProtection="1">
      <alignment horizontal="center" vertical="center"/>
      <protection hidden="1"/>
    </xf>
    <xf numFmtId="0" fontId="4" fillId="5" borderId="73" xfId="0" applyFont="1" applyFill="1" applyBorder="1" applyAlignment="1" applyProtection="1">
      <alignment horizontal="center" vertical="center"/>
      <protection hidden="1"/>
    </xf>
    <xf numFmtId="0" fontId="4" fillId="2" borderId="28" xfId="0" applyFont="1" applyFill="1" applyBorder="1" applyAlignment="1" applyProtection="1">
      <alignment horizontal="center" vertical="center"/>
      <protection hidden="1"/>
    </xf>
    <xf numFmtId="0" fontId="4" fillId="2" borderId="123" xfId="0" applyFont="1" applyFill="1" applyBorder="1" applyAlignment="1" applyProtection="1">
      <alignment horizontal="center" vertical="center"/>
      <protection hidden="1"/>
    </xf>
    <xf numFmtId="0" fontId="4" fillId="2" borderId="87" xfId="0" applyFont="1" applyFill="1" applyBorder="1" applyAlignment="1" applyProtection="1">
      <alignment horizontal="center" vertical="center"/>
      <protection hidden="1"/>
    </xf>
    <xf numFmtId="0" fontId="7" fillId="7" borderId="28"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4" xfId="0" applyFont="1" applyFill="1" applyBorder="1" applyAlignment="1">
      <alignment horizontal="center" vertical="center"/>
    </xf>
    <xf numFmtId="168" fontId="14" fillId="3" borderId="45" xfId="0" applyNumberFormat="1" applyFont="1" applyFill="1" applyBorder="1" applyAlignment="1" applyProtection="1">
      <alignment horizontal="center" vertical="center"/>
      <protection locked="0" hidden="1"/>
    </xf>
    <xf numFmtId="168" fontId="14" fillId="3" borderId="22" xfId="0" applyNumberFormat="1" applyFont="1" applyFill="1" applyBorder="1" applyAlignment="1" applyProtection="1">
      <alignment horizontal="center" vertical="center"/>
      <protection locked="0" hidden="1"/>
    </xf>
    <xf numFmtId="165" fontId="10" fillId="0" borderId="45" xfId="0" applyNumberFormat="1" applyFont="1" applyBorder="1" applyAlignment="1">
      <alignment horizontal="center" vertical="center"/>
    </xf>
    <xf numFmtId="165" fontId="10" fillId="0" borderId="62" xfId="0" applyNumberFormat="1" applyFont="1" applyBorder="1" applyAlignment="1">
      <alignment horizontal="center" vertical="center"/>
    </xf>
    <xf numFmtId="165" fontId="10" fillId="0" borderId="22" xfId="0" applyNumberFormat="1" applyFont="1" applyBorder="1" applyAlignment="1">
      <alignment horizontal="center" vertical="center"/>
    </xf>
    <xf numFmtId="0" fontId="10" fillId="7" borderId="28" xfId="0" applyFont="1" applyFill="1" applyBorder="1" applyAlignment="1">
      <alignment horizontal="center" vertical="center"/>
    </xf>
    <xf numFmtId="0" fontId="10" fillId="7" borderId="25" xfId="0" applyFont="1" applyFill="1" applyBorder="1" applyAlignment="1">
      <alignment horizontal="center" vertical="center"/>
    </xf>
    <xf numFmtId="0" fontId="10" fillId="7" borderId="24" xfId="0" applyFont="1" applyFill="1" applyBorder="1" applyAlignment="1">
      <alignment horizontal="center" vertical="center"/>
    </xf>
    <xf numFmtId="168" fontId="10" fillId="0" borderId="80" xfId="0" applyNumberFormat="1" applyFont="1" applyBorder="1" applyAlignment="1">
      <alignment horizontal="center" vertical="center"/>
    </xf>
    <xf numFmtId="168" fontId="10" fillId="0" borderId="97" xfId="0" applyNumberFormat="1" applyFont="1" applyBorder="1" applyAlignment="1">
      <alignment horizontal="center" vertical="center"/>
    </xf>
    <xf numFmtId="168" fontId="10" fillId="0" borderId="81" xfId="0" applyNumberFormat="1" applyFont="1" applyBorder="1" applyAlignment="1">
      <alignment horizontal="center" vertical="center"/>
    </xf>
    <xf numFmtId="168" fontId="10" fillId="0" borderId="31" xfId="0" applyNumberFormat="1" applyFont="1" applyBorder="1" applyAlignment="1">
      <alignment horizontal="center" vertical="center"/>
    </xf>
    <xf numFmtId="168" fontId="10" fillId="0" borderId="8" xfId="0" applyNumberFormat="1" applyFont="1" applyBorder="1" applyAlignment="1">
      <alignment horizontal="center" vertical="center"/>
    </xf>
    <xf numFmtId="168" fontId="10" fillId="0" borderId="7" xfId="0" applyNumberFormat="1" applyFont="1" applyBorder="1" applyAlignment="1">
      <alignment horizontal="center" vertical="center"/>
    </xf>
    <xf numFmtId="168" fontId="14" fillId="3" borderId="45" xfId="0" applyNumberFormat="1" applyFont="1" applyFill="1" applyBorder="1" applyAlignment="1" applyProtection="1">
      <alignment horizontal="center" vertical="center"/>
      <protection hidden="1"/>
    </xf>
    <xf numFmtId="168" fontId="14" fillId="3" borderId="22" xfId="0" applyNumberFormat="1" applyFont="1" applyFill="1" applyBorder="1" applyAlignment="1" applyProtection="1">
      <alignment horizontal="center" vertical="center"/>
      <protection hidden="1"/>
    </xf>
    <xf numFmtId="0" fontId="19" fillId="15" borderId="71" xfId="0" applyFont="1" applyFill="1" applyBorder="1" applyAlignment="1" applyProtection="1">
      <alignment horizontal="center" vertical="center"/>
      <protection hidden="1"/>
    </xf>
    <xf numFmtId="0" fontId="19" fillId="15" borderId="73" xfId="0" applyFont="1" applyFill="1" applyBorder="1" applyAlignment="1" applyProtection="1">
      <alignment horizontal="center" vertical="center"/>
      <protection hidden="1"/>
    </xf>
    <xf numFmtId="0" fontId="7" fillId="10" borderId="9" xfId="0" applyFont="1" applyFill="1" applyBorder="1" applyAlignment="1" applyProtection="1">
      <alignment horizontal="center" vertical="center"/>
      <protection hidden="1"/>
    </xf>
    <xf numFmtId="0" fontId="7" fillId="10" borderId="10" xfId="0" applyFont="1" applyFill="1" applyBorder="1" applyAlignment="1" applyProtection="1">
      <alignment horizontal="center" vertical="center"/>
      <protection hidden="1"/>
    </xf>
    <xf numFmtId="1" fontId="7" fillId="0" borderId="128" xfId="0" applyNumberFormat="1" applyFont="1" applyBorder="1" applyAlignment="1" applyProtection="1">
      <alignment horizontal="center" vertical="center"/>
      <protection locked="0" hidden="1"/>
    </xf>
    <xf numFmtId="1" fontId="7" fillId="0" borderId="33" xfId="0" applyNumberFormat="1" applyFont="1" applyBorder="1" applyAlignment="1" applyProtection="1">
      <alignment horizontal="center" vertical="center"/>
      <protection locked="0" hidden="1"/>
    </xf>
    <xf numFmtId="1" fontId="7" fillId="0" borderId="81" xfId="0" applyNumberFormat="1" applyFont="1" applyBorder="1" applyAlignment="1" applyProtection="1">
      <alignment horizontal="center" vertical="center"/>
      <protection locked="0" hidden="1"/>
    </xf>
    <xf numFmtId="1" fontId="7" fillId="0" borderId="7" xfId="0" applyNumberFormat="1" applyFont="1" applyBorder="1" applyAlignment="1" applyProtection="1">
      <alignment horizontal="center" vertical="center"/>
      <protection locked="0" hidden="1"/>
    </xf>
    <xf numFmtId="0" fontId="10" fillId="6" borderId="51" xfId="0" applyFont="1" applyFill="1" applyBorder="1" applyAlignment="1" applyProtection="1">
      <alignment horizontal="right" vertical="center" indent="9"/>
      <protection hidden="1"/>
    </xf>
    <xf numFmtId="0" fontId="7" fillId="0" borderId="45" xfId="0" applyFont="1" applyBorder="1" applyAlignment="1" applyProtection="1">
      <alignment horizontal="center" vertical="center"/>
      <protection hidden="1"/>
    </xf>
    <xf numFmtId="0" fontId="7" fillId="0" borderId="62" xfId="0" applyFont="1" applyBorder="1" applyAlignment="1" applyProtection="1">
      <alignment horizontal="center" vertical="center"/>
      <protection hidden="1"/>
    </xf>
    <xf numFmtId="0" fontId="7" fillId="0" borderId="22" xfId="0" applyFont="1" applyBorder="1" applyAlignment="1" applyProtection="1">
      <alignment horizontal="center" vertical="center"/>
      <protection hidden="1"/>
    </xf>
    <xf numFmtId="0" fontId="7" fillId="0" borderId="80" xfId="0" applyFont="1" applyBorder="1" applyAlignment="1" applyProtection="1">
      <alignment horizontal="center" vertical="center"/>
      <protection hidden="1"/>
    </xf>
    <xf numFmtId="0" fontId="7" fillId="0" borderId="81" xfId="0" applyFont="1" applyBorder="1" applyAlignment="1" applyProtection="1">
      <alignment horizontal="center" vertical="center"/>
      <protection hidden="1"/>
    </xf>
    <xf numFmtId="0" fontId="7" fillId="0" borderId="10" xfId="0" applyFont="1" applyBorder="1" applyAlignment="1" applyProtection="1">
      <alignment horizontal="center" vertical="center"/>
      <protection locked="0" hidden="1"/>
    </xf>
    <xf numFmtId="0" fontId="7" fillId="0" borderId="7" xfId="0" applyFont="1" applyBorder="1" applyAlignment="1" applyProtection="1">
      <alignment horizontal="center" vertical="center"/>
      <protection locked="0" hidden="1"/>
    </xf>
    <xf numFmtId="0" fontId="7" fillId="6" borderId="72" xfId="0" applyFont="1" applyFill="1" applyBorder="1" applyAlignment="1" applyProtection="1">
      <alignment horizontal="right" vertical="center" indent="1"/>
      <protection hidden="1"/>
    </xf>
    <xf numFmtId="0" fontId="7" fillId="6" borderId="51" xfId="0" applyFont="1" applyFill="1" applyBorder="1" applyAlignment="1" applyProtection="1">
      <alignment horizontal="right" vertical="center" indent="1"/>
      <protection hidden="1"/>
    </xf>
    <xf numFmtId="0" fontId="4" fillId="2" borderId="77" xfId="0" applyFont="1" applyFill="1" applyBorder="1" applyAlignment="1" applyProtection="1">
      <alignment horizontal="center" vertical="center"/>
      <protection hidden="1"/>
    </xf>
    <xf numFmtId="0" fontId="4" fillId="2" borderId="60" xfId="0" applyFont="1" applyFill="1" applyBorder="1" applyAlignment="1" applyProtection="1">
      <alignment horizontal="center" vertical="center"/>
      <protection hidden="1"/>
    </xf>
    <xf numFmtId="168" fontId="9" fillId="0" borderId="31" xfId="0" applyNumberFormat="1" applyFont="1" applyBorder="1" applyAlignment="1" applyProtection="1">
      <alignment horizontal="center" vertical="center"/>
      <protection locked="0" hidden="1"/>
    </xf>
    <xf numFmtId="168" fontId="9" fillId="0" borderId="7" xfId="0" applyNumberFormat="1" applyFont="1" applyBorder="1" applyAlignment="1" applyProtection="1">
      <alignment horizontal="center" vertical="center"/>
      <protection locked="0" hidden="1"/>
    </xf>
    <xf numFmtId="168" fontId="14" fillId="3" borderId="31" xfId="0" applyNumberFormat="1" applyFont="1" applyFill="1" applyBorder="1" applyAlignment="1" applyProtection="1">
      <alignment horizontal="center" vertical="center"/>
      <protection hidden="1"/>
    </xf>
    <xf numFmtId="168" fontId="14" fillId="3" borderId="7" xfId="0" applyNumberFormat="1" applyFont="1" applyFill="1" applyBorder="1" applyAlignment="1" applyProtection="1">
      <alignment horizontal="center" vertical="center"/>
      <protection hidden="1"/>
    </xf>
    <xf numFmtId="0" fontId="10" fillId="11" borderId="72" xfId="0" applyFont="1" applyFill="1" applyBorder="1" applyAlignment="1" applyProtection="1">
      <alignment horizontal="center" vertical="center"/>
      <protection hidden="1"/>
    </xf>
    <xf numFmtId="0" fontId="10" fillId="11" borderId="51" xfId="0" applyFont="1" applyFill="1" applyBorder="1" applyAlignment="1" applyProtection="1">
      <alignment horizontal="center" vertical="center"/>
      <protection hidden="1"/>
    </xf>
    <xf numFmtId="0" fontId="10" fillId="11" borderId="30" xfId="0" applyFont="1" applyFill="1" applyBorder="1" applyAlignment="1" applyProtection="1">
      <alignment horizontal="center" vertical="center"/>
      <protection hidden="1"/>
    </xf>
    <xf numFmtId="0" fontId="10" fillId="24" borderId="72" xfId="0" applyFont="1" applyFill="1" applyBorder="1" applyAlignment="1" applyProtection="1">
      <alignment horizontal="center" vertical="center"/>
      <protection hidden="1"/>
    </xf>
    <xf numFmtId="0" fontId="10" fillId="24" borderId="51" xfId="0" applyFont="1" applyFill="1" applyBorder="1" applyAlignment="1" applyProtection="1">
      <alignment horizontal="center" vertical="center"/>
      <protection hidden="1"/>
    </xf>
    <xf numFmtId="0" fontId="10" fillId="24" borderId="30" xfId="0" applyFont="1" applyFill="1" applyBorder="1" applyAlignment="1" applyProtection="1">
      <alignment horizontal="center" vertical="center"/>
      <protection hidden="1"/>
    </xf>
    <xf numFmtId="0" fontId="4" fillId="0" borderId="63" xfId="0" applyFont="1" applyBorder="1" applyAlignment="1" applyProtection="1">
      <alignment horizontal="center" vertical="center"/>
      <protection locked="0"/>
    </xf>
    <xf numFmtId="0" fontId="4" fillId="0" borderId="129" xfId="0" applyFont="1" applyBorder="1" applyAlignment="1" applyProtection="1">
      <alignment horizontal="center" vertical="center"/>
      <protection locked="0"/>
    </xf>
    <xf numFmtId="0" fontId="4" fillId="0" borderId="118" xfId="0" applyFont="1" applyBorder="1" applyAlignment="1" applyProtection="1">
      <alignment horizontal="center" vertical="center"/>
      <protection locked="0"/>
    </xf>
    <xf numFmtId="0" fontId="4" fillId="0" borderId="31"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64" xfId="0" applyFont="1" applyBorder="1" applyAlignment="1" applyProtection="1">
      <alignment horizontal="center" vertical="center"/>
      <protection locked="0"/>
    </xf>
    <xf numFmtId="0" fontId="4" fillId="0" borderId="130" xfId="0" applyFont="1" applyBorder="1" applyAlignment="1" applyProtection="1">
      <alignment horizontal="center" vertical="center"/>
      <protection locked="0"/>
    </xf>
    <xf numFmtId="0" fontId="4" fillId="0" borderId="119" xfId="0" applyFont="1" applyBorder="1" applyAlignment="1" applyProtection="1">
      <alignment horizontal="center" vertical="center"/>
      <protection locked="0"/>
    </xf>
    <xf numFmtId="168" fontId="16" fillId="0" borderId="8" xfId="0" applyNumberFormat="1" applyFont="1" applyBorder="1" applyAlignment="1" applyProtection="1">
      <alignment horizontal="center" vertical="center"/>
      <protection hidden="1"/>
    </xf>
    <xf numFmtId="168" fontId="16" fillId="0" borderId="21" xfId="0" applyNumberFormat="1" applyFont="1" applyBorder="1" applyAlignment="1" applyProtection="1">
      <alignment horizontal="center" vertical="center"/>
      <protection hidden="1"/>
    </xf>
    <xf numFmtId="168" fontId="16" fillId="0" borderId="7" xfId="0" applyNumberFormat="1" applyFont="1" applyBorder="1" applyAlignment="1" applyProtection="1">
      <alignment horizontal="center" vertical="center"/>
      <protection hidden="1"/>
    </xf>
    <xf numFmtId="0" fontId="10" fillId="7" borderId="72" xfId="0" applyFont="1" applyFill="1" applyBorder="1" applyAlignment="1" applyProtection="1">
      <alignment horizontal="center" vertical="center"/>
      <protection hidden="1"/>
    </xf>
    <xf numFmtId="0" fontId="10" fillId="7" borderId="51" xfId="0" applyFont="1" applyFill="1" applyBorder="1" applyAlignment="1" applyProtection="1">
      <alignment horizontal="center" vertical="center"/>
      <protection hidden="1"/>
    </xf>
    <xf numFmtId="0" fontId="10" fillId="7" borderId="30" xfId="0" applyFont="1" applyFill="1" applyBorder="1" applyAlignment="1" applyProtection="1">
      <alignment horizontal="center" vertical="center"/>
      <protection hidden="1"/>
    </xf>
    <xf numFmtId="0" fontId="9" fillId="0" borderId="131" xfId="0" applyFont="1" applyBorder="1" applyAlignment="1" applyProtection="1">
      <alignment horizontal="center" vertical="center" shrinkToFit="1"/>
      <protection locked="0"/>
    </xf>
    <xf numFmtId="0" fontId="9" fillId="0" borderId="119" xfId="0" applyFont="1" applyBorder="1" applyAlignment="1" applyProtection="1">
      <alignment horizontal="center" vertical="center" shrinkToFit="1"/>
      <protection locked="0"/>
    </xf>
    <xf numFmtId="0" fontId="10" fillId="26" borderId="72" xfId="0" applyFont="1" applyFill="1" applyBorder="1" applyAlignment="1" applyProtection="1">
      <alignment horizontal="center" vertical="center"/>
      <protection hidden="1"/>
    </xf>
    <xf numFmtId="0" fontId="10" fillId="26" borderId="51" xfId="0" applyFont="1" applyFill="1" applyBorder="1" applyAlignment="1" applyProtection="1">
      <alignment horizontal="center" vertical="center"/>
      <protection hidden="1"/>
    </xf>
    <xf numFmtId="0" fontId="10" fillId="26" borderId="30" xfId="0" applyFont="1" applyFill="1" applyBorder="1" applyAlignment="1" applyProtection="1">
      <alignment horizontal="center" vertical="center"/>
      <protection hidden="1"/>
    </xf>
    <xf numFmtId="0" fontId="4" fillId="2" borderId="88" xfId="0" applyFont="1" applyFill="1" applyBorder="1" applyAlignment="1" applyProtection="1">
      <alignment horizontal="center" vertical="center"/>
      <protection hidden="1"/>
    </xf>
    <xf numFmtId="0" fontId="9" fillId="0" borderId="132" xfId="0" applyFont="1" applyBorder="1" applyAlignment="1" applyProtection="1">
      <alignment horizontal="center" vertical="center" shrinkToFit="1"/>
      <protection locked="0"/>
    </xf>
    <xf numFmtId="0" fontId="9" fillId="0" borderId="118" xfId="0" applyFont="1" applyBorder="1" applyAlignment="1" applyProtection="1">
      <alignment horizontal="center" vertical="center" shrinkToFit="1"/>
      <protection locked="0"/>
    </xf>
    <xf numFmtId="0" fontId="4" fillId="2" borderId="9" xfId="0" applyFont="1" applyFill="1" applyBorder="1" applyAlignment="1" applyProtection="1">
      <alignment horizontal="center" vertical="center"/>
      <protection hidden="1"/>
    </xf>
    <xf numFmtId="0" fontId="4" fillId="2" borderId="10" xfId="0" applyFont="1" applyFill="1" applyBorder="1" applyAlignment="1" applyProtection="1">
      <alignment horizontal="center" vertical="center"/>
      <protection hidden="1"/>
    </xf>
    <xf numFmtId="0" fontId="13" fillId="0" borderId="128" xfId="0" applyFont="1" applyBorder="1" applyAlignment="1" applyProtection="1">
      <alignment horizontal="center" vertical="center"/>
      <protection locked="0" hidden="1"/>
    </xf>
    <xf numFmtId="0" fontId="13" fillId="0" borderId="33" xfId="0" applyFont="1" applyBorder="1" applyAlignment="1" applyProtection="1">
      <alignment horizontal="center" vertical="center"/>
      <protection locked="0" hidden="1"/>
    </xf>
    <xf numFmtId="0" fontId="13" fillId="0" borderId="133" xfId="0" applyFont="1" applyBorder="1" applyAlignment="1" applyProtection="1">
      <alignment horizontal="center" vertical="center"/>
      <protection locked="0" hidden="1"/>
    </xf>
    <xf numFmtId="0" fontId="13" fillId="0" borderId="14" xfId="0" applyFont="1" applyBorder="1" applyAlignment="1" applyProtection="1">
      <alignment horizontal="center" vertical="center"/>
      <protection locked="0" hidden="1"/>
    </xf>
    <xf numFmtId="165" fontId="9" fillId="0" borderId="133" xfId="0" applyNumberFormat="1" applyFont="1" applyBorder="1" applyAlignment="1" applyProtection="1">
      <alignment horizontal="center" vertical="center" shrinkToFit="1"/>
      <protection locked="0" hidden="1"/>
    </xf>
    <xf numFmtId="165" fontId="9" fillId="0" borderId="14" xfId="0" applyNumberFormat="1" applyFont="1" applyBorder="1" applyAlignment="1" applyProtection="1">
      <alignment horizontal="center" vertical="center" shrinkToFit="1"/>
      <protection locked="0" hidden="1"/>
    </xf>
    <xf numFmtId="1" fontId="13" fillId="3" borderId="81" xfId="0" applyNumberFormat="1" applyFont="1" applyFill="1" applyBorder="1" applyAlignment="1" applyProtection="1">
      <alignment horizontal="center" vertical="center"/>
      <protection hidden="1"/>
    </xf>
    <xf numFmtId="1" fontId="13" fillId="3" borderId="7" xfId="0" applyNumberFormat="1" applyFont="1" applyFill="1" applyBorder="1" applyAlignment="1" applyProtection="1">
      <alignment horizontal="center" vertical="center"/>
      <protection hidden="1"/>
    </xf>
    <xf numFmtId="165" fontId="9" fillId="3" borderId="95" xfId="0" applyNumberFormat="1" applyFont="1" applyFill="1" applyBorder="1" applyAlignment="1" applyProtection="1">
      <alignment horizontal="center" vertical="center"/>
      <protection hidden="1"/>
    </xf>
    <xf numFmtId="165" fontId="9" fillId="3" borderId="47" xfId="0" applyNumberFormat="1" applyFont="1" applyFill="1" applyBorder="1" applyAlignment="1" applyProtection="1">
      <alignment horizontal="center" vertical="center"/>
      <protection hidden="1"/>
    </xf>
    <xf numFmtId="168" fontId="13" fillId="3" borderId="80" xfId="0" applyNumberFormat="1" applyFont="1" applyFill="1" applyBorder="1" applyAlignment="1" applyProtection="1">
      <alignment horizontal="center" vertical="center"/>
      <protection hidden="1"/>
    </xf>
    <xf numFmtId="168" fontId="13" fillId="3" borderId="81" xfId="0" applyNumberFormat="1" applyFont="1" applyFill="1" applyBorder="1" applyAlignment="1" applyProtection="1">
      <alignment horizontal="center" vertical="center"/>
      <protection hidden="1"/>
    </xf>
    <xf numFmtId="168" fontId="13" fillId="3" borderId="31" xfId="0" applyNumberFormat="1" applyFont="1" applyFill="1" applyBorder="1" applyAlignment="1" applyProtection="1">
      <alignment horizontal="center" vertical="center"/>
      <protection hidden="1"/>
    </xf>
    <xf numFmtId="168" fontId="13" fillId="3" borderId="7" xfId="0" applyNumberFormat="1" applyFont="1" applyFill="1" applyBorder="1" applyAlignment="1" applyProtection="1">
      <alignment horizontal="center" vertical="center"/>
      <protection hidden="1"/>
    </xf>
    <xf numFmtId="0" fontId="10" fillId="7" borderId="48" xfId="0" applyFont="1" applyFill="1" applyBorder="1" applyAlignment="1" applyProtection="1">
      <alignment horizontal="center" vertical="center"/>
      <protection hidden="1"/>
    </xf>
    <xf numFmtId="0" fontId="10" fillId="7" borderId="134" xfId="0" applyFont="1" applyFill="1" applyBorder="1" applyAlignment="1" applyProtection="1">
      <alignment horizontal="center" vertical="center"/>
      <protection hidden="1"/>
    </xf>
    <xf numFmtId="0" fontId="10" fillId="7" borderId="70" xfId="0" applyFont="1" applyFill="1" applyBorder="1" applyAlignment="1" applyProtection="1">
      <alignment horizontal="center" vertical="center"/>
      <protection hidden="1"/>
    </xf>
    <xf numFmtId="0" fontId="10" fillId="7" borderId="73" xfId="0" applyFont="1" applyFill="1" applyBorder="1" applyAlignment="1" applyProtection="1">
      <alignment horizontal="center" vertical="center"/>
      <protection hidden="1"/>
    </xf>
    <xf numFmtId="168" fontId="7" fillId="0" borderId="135" xfId="0" applyNumberFormat="1" applyFont="1" applyBorder="1" applyAlignment="1" applyProtection="1">
      <alignment horizontal="center" vertical="center"/>
      <protection hidden="1"/>
    </xf>
    <xf numFmtId="168" fontId="7" fillId="0" borderId="17" xfId="0" applyNumberFormat="1" applyFont="1" applyBorder="1" applyAlignment="1" applyProtection="1">
      <alignment horizontal="center" vertical="center"/>
      <protection hidden="1"/>
    </xf>
    <xf numFmtId="168" fontId="9" fillId="0" borderId="97" xfId="0" applyNumberFormat="1" applyFont="1" applyBorder="1" applyAlignment="1" applyProtection="1">
      <alignment horizontal="center" vertical="center"/>
      <protection hidden="1"/>
    </xf>
    <xf numFmtId="168" fontId="9" fillId="0" borderId="8" xfId="0" applyNumberFormat="1" applyFont="1" applyBorder="1" applyAlignment="1" applyProtection="1">
      <alignment horizontal="center" vertical="center"/>
      <protection hidden="1"/>
    </xf>
    <xf numFmtId="168" fontId="9" fillId="0" borderId="96" xfId="0" applyNumberFormat="1" applyFont="1" applyBorder="1" applyAlignment="1" applyProtection="1">
      <alignment horizontal="center" vertical="center"/>
      <protection locked="0" hidden="1"/>
    </xf>
    <xf numFmtId="168" fontId="9" fillId="0" borderId="15" xfId="0" applyNumberFormat="1" applyFont="1" applyBorder="1" applyAlignment="1" applyProtection="1">
      <alignment horizontal="center" vertical="center"/>
      <protection locked="0" hidden="1"/>
    </xf>
    <xf numFmtId="168" fontId="9" fillId="0" borderId="94" xfId="0" applyNumberFormat="1" applyFont="1" applyBorder="1" applyAlignment="1" applyProtection="1">
      <alignment horizontal="center" vertical="center"/>
      <protection locked="0" hidden="1"/>
    </xf>
    <xf numFmtId="168" fontId="9" fillId="0" borderId="19" xfId="0" applyNumberFormat="1" applyFont="1" applyBorder="1" applyAlignment="1" applyProtection="1">
      <alignment horizontal="center" vertical="center"/>
      <protection locked="0" hidden="1"/>
    </xf>
    <xf numFmtId="0" fontId="4" fillId="2" borderId="34" xfId="0" applyFont="1" applyFill="1" applyBorder="1" applyAlignment="1" applyProtection="1">
      <alignment horizontal="center" vertical="center"/>
      <protection hidden="1"/>
    </xf>
    <xf numFmtId="0" fontId="4" fillId="2" borderId="136" xfId="0" applyFont="1" applyFill="1" applyBorder="1" applyAlignment="1" applyProtection="1">
      <alignment horizontal="center" vertical="center"/>
      <protection hidden="1"/>
    </xf>
    <xf numFmtId="0" fontId="4" fillId="2" borderId="27" xfId="0" applyFont="1" applyFill="1" applyBorder="1" applyAlignment="1" applyProtection="1">
      <alignment horizontal="center" vertical="center"/>
      <protection hidden="1"/>
    </xf>
    <xf numFmtId="0" fontId="4" fillId="2" borderId="137" xfId="0" applyFont="1" applyFill="1" applyBorder="1" applyAlignment="1" applyProtection="1">
      <alignment horizontal="center" vertical="center"/>
      <protection hidden="1"/>
    </xf>
    <xf numFmtId="168" fontId="10" fillId="0" borderId="9" xfId="0" applyNumberFormat="1" applyFont="1" applyBorder="1" applyAlignment="1">
      <alignment horizontal="center" vertical="center"/>
    </xf>
    <xf numFmtId="168" fontId="10" fillId="0" borderId="0" xfId="0" applyNumberFormat="1" applyFont="1" applyAlignment="1">
      <alignment horizontal="center" vertical="center"/>
    </xf>
    <xf numFmtId="168" fontId="10" fillId="0" borderId="10" xfId="0" applyNumberFormat="1" applyFont="1" applyBorder="1" applyAlignment="1">
      <alignment horizontal="center" vertical="center"/>
    </xf>
    <xf numFmtId="0" fontId="9" fillId="0" borderId="128" xfId="0" applyFont="1" applyBorder="1" applyAlignment="1" applyProtection="1">
      <alignment horizontal="center" vertical="center"/>
      <protection locked="0" hidden="1"/>
    </xf>
    <xf numFmtId="0" fontId="9" fillId="0" borderId="33" xfId="0" applyFont="1" applyBorder="1" applyAlignment="1" applyProtection="1">
      <alignment horizontal="center" vertical="center"/>
      <protection locked="0" hidden="1"/>
    </xf>
    <xf numFmtId="0" fontId="0" fillId="0" borderId="0" xfId="0" applyAlignment="1">
      <alignment horizontal="center" vertical="center"/>
    </xf>
    <xf numFmtId="0" fontId="7" fillId="7" borderId="72" xfId="0" applyFont="1" applyFill="1" applyBorder="1" applyAlignment="1" applyProtection="1">
      <alignment horizontal="center" vertical="center"/>
      <protection hidden="1"/>
    </xf>
    <xf numFmtId="0" fontId="7" fillId="7" borderId="51" xfId="0" applyFont="1" applyFill="1" applyBorder="1" applyAlignment="1" applyProtection="1">
      <alignment horizontal="center" vertical="center"/>
      <protection hidden="1"/>
    </xf>
    <xf numFmtId="0" fontId="7" fillId="7" borderId="30" xfId="0" applyFont="1" applyFill="1" applyBorder="1" applyAlignment="1" applyProtection="1">
      <alignment horizontal="center" vertical="center"/>
      <protection hidden="1"/>
    </xf>
    <xf numFmtId="0" fontId="32" fillId="0" borderId="72" xfId="0" applyFont="1" applyBorder="1" applyAlignment="1" applyProtection="1">
      <alignment horizontal="center" vertical="center"/>
      <protection locked="0" hidden="1"/>
    </xf>
    <xf numFmtId="0" fontId="32" fillId="0" borderId="51" xfId="0" applyFont="1" applyBorder="1" applyAlignment="1" applyProtection="1">
      <alignment horizontal="center" vertical="center"/>
      <protection locked="0" hidden="1"/>
    </xf>
    <xf numFmtId="0" fontId="32" fillId="0" borderId="30" xfId="0" applyFont="1" applyBorder="1" applyAlignment="1" applyProtection="1">
      <alignment horizontal="center" vertical="center"/>
      <protection locked="0" hidden="1"/>
    </xf>
    <xf numFmtId="168" fontId="13" fillId="0" borderId="45" xfId="0" applyNumberFormat="1" applyFont="1" applyBorder="1" applyAlignment="1" applyProtection="1">
      <alignment horizontal="center" vertical="center"/>
      <protection locked="0" hidden="1"/>
    </xf>
    <xf numFmtId="168" fontId="13" fillId="0" borderId="22" xfId="0" applyNumberFormat="1" applyFont="1" applyBorder="1" applyAlignment="1" applyProtection="1">
      <alignment horizontal="center" vertical="center"/>
      <protection locked="0" hidden="1"/>
    </xf>
    <xf numFmtId="0" fontId="7" fillId="0" borderId="15" xfId="0" applyFont="1" applyBorder="1" applyAlignment="1" applyProtection="1">
      <alignment horizontal="center" vertical="center"/>
      <protection hidden="1"/>
    </xf>
    <xf numFmtId="0" fontId="7" fillId="0" borderId="95" xfId="0" applyFont="1" applyBorder="1" applyAlignment="1" applyProtection="1">
      <alignment horizontal="center" vertical="center"/>
      <protection locked="0" hidden="1"/>
    </xf>
    <xf numFmtId="0" fontId="7" fillId="0" borderId="29" xfId="0" applyFont="1" applyBorder="1" applyAlignment="1" applyProtection="1">
      <alignment horizontal="center" vertical="center"/>
      <protection locked="0" hidden="1"/>
    </xf>
    <xf numFmtId="0" fontId="7" fillId="0" borderId="47" xfId="0" applyFont="1" applyBorder="1" applyAlignment="1" applyProtection="1">
      <alignment horizontal="center" vertical="center"/>
      <protection locked="0" hidden="1"/>
    </xf>
    <xf numFmtId="0" fontId="30" fillId="21" borderId="71" xfId="0" applyFont="1" applyFill="1" applyBorder="1" applyAlignment="1">
      <alignment horizontal="center" vertical="center"/>
    </xf>
    <xf numFmtId="0" fontId="30" fillId="21" borderId="70" xfId="0" applyFont="1" applyFill="1" applyBorder="1" applyAlignment="1">
      <alignment horizontal="center" vertical="center"/>
    </xf>
    <xf numFmtId="0" fontId="30" fillId="21" borderId="73" xfId="0" applyFont="1" applyFill="1" applyBorder="1" applyAlignment="1">
      <alignment horizontal="center" vertical="center"/>
    </xf>
    <xf numFmtId="0" fontId="30" fillId="21" borderId="31" xfId="0" applyFont="1" applyFill="1" applyBorder="1" applyAlignment="1">
      <alignment horizontal="center" vertical="center"/>
    </xf>
    <xf numFmtId="0" fontId="30" fillId="21" borderId="8" xfId="0" applyFont="1" applyFill="1" applyBorder="1" applyAlignment="1">
      <alignment horizontal="center" vertical="center"/>
    </xf>
    <xf numFmtId="0" fontId="30" fillId="21" borderId="7" xfId="0" applyFont="1" applyFill="1" applyBorder="1" applyAlignment="1">
      <alignment horizontal="center" vertical="center"/>
    </xf>
    <xf numFmtId="0" fontId="4" fillId="5" borderId="43" xfId="0" applyFont="1" applyFill="1" applyBorder="1" applyAlignment="1" applyProtection="1">
      <alignment horizontal="center" vertical="center"/>
      <protection hidden="1"/>
    </xf>
    <xf numFmtId="0" fontId="4" fillId="5" borderId="61" xfId="0" applyFont="1" applyFill="1" applyBorder="1" applyAlignment="1" applyProtection="1">
      <alignment horizontal="center" vertical="center"/>
      <protection hidden="1"/>
    </xf>
    <xf numFmtId="0" fontId="4" fillId="5" borderId="42" xfId="0" applyFont="1" applyFill="1" applyBorder="1" applyAlignment="1" applyProtection="1">
      <alignment horizontal="center" vertical="center"/>
      <protection hidden="1"/>
    </xf>
    <xf numFmtId="0" fontId="4" fillId="5" borderId="88" xfId="0" applyFont="1" applyFill="1" applyBorder="1" applyAlignment="1" applyProtection="1">
      <alignment horizontal="center" vertical="center"/>
      <protection hidden="1"/>
    </xf>
    <xf numFmtId="0" fontId="10" fillId="7" borderId="49" xfId="0" applyFont="1" applyFill="1" applyBorder="1" applyAlignment="1" applyProtection="1">
      <alignment horizontal="center" vertical="center"/>
      <protection hidden="1"/>
    </xf>
    <xf numFmtId="0" fontId="4" fillId="2" borderId="138" xfId="0" applyFont="1" applyFill="1" applyBorder="1" applyAlignment="1" applyProtection="1">
      <alignment horizontal="center" vertical="center"/>
      <protection hidden="1"/>
    </xf>
    <xf numFmtId="0" fontId="13" fillId="0" borderId="134" xfId="0" applyFont="1" applyBorder="1" applyAlignment="1" applyProtection="1">
      <alignment horizontal="center" vertical="center"/>
      <protection hidden="1"/>
    </xf>
    <xf numFmtId="0" fontId="13" fillId="0" borderId="70" xfId="0" applyFont="1" applyBorder="1" applyAlignment="1" applyProtection="1">
      <alignment horizontal="center" vertical="center"/>
      <protection hidden="1"/>
    </xf>
    <xf numFmtId="0" fontId="13" fillId="0" borderId="73" xfId="0" applyFont="1" applyBorder="1" applyAlignment="1" applyProtection="1">
      <alignment horizontal="center" vertical="center"/>
      <protection hidden="1"/>
    </xf>
    <xf numFmtId="0" fontId="13" fillId="0" borderId="139" xfId="0" applyFont="1" applyBorder="1" applyAlignment="1" applyProtection="1">
      <alignment horizontal="center" vertical="center"/>
      <protection hidden="1"/>
    </xf>
    <xf numFmtId="0" fontId="13" fillId="0" borderId="8" xfId="0" applyFont="1" applyBorder="1" applyAlignment="1" applyProtection="1">
      <alignment horizontal="center" vertical="center"/>
      <protection hidden="1"/>
    </xf>
    <xf numFmtId="0" fontId="13" fillId="0" borderId="7" xfId="0" applyFont="1" applyBorder="1" applyAlignment="1" applyProtection="1">
      <alignment horizontal="center" vertical="center"/>
      <protection hidden="1"/>
    </xf>
    <xf numFmtId="165" fontId="9" fillId="0" borderId="139" xfId="0" applyNumberFormat="1" applyFont="1" applyBorder="1" applyAlignment="1" applyProtection="1">
      <alignment horizontal="center" vertical="center" readingOrder="2"/>
      <protection locked="0" hidden="1"/>
    </xf>
    <xf numFmtId="165" fontId="9" fillId="0" borderId="21" xfId="0" applyNumberFormat="1" applyFont="1" applyBorder="1" applyAlignment="1" applyProtection="1">
      <alignment horizontal="center" vertical="center" readingOrder="2"/>
      <protection locked="0" hidden="1"/>
    </xf>
    <xf numFmtId="168" fontId="13" fillId="3" borderId="45" xfId="0" applyNumberFormat="1" applyFont="1" applyFill="1" applyBorder="1" applyAlignment="1" applyProtection="1">
      <alignment horizontal="center" vertical="center"/>
      <protection hidden="1"/>
    </xf>
    <xf numFmtId="168" fontId="13" fillId="3" borderId="22" xfId="0" applyNumberFormat="1" applyFont="1" applyFill="1" applyBorder="1" applyAlignment="1" applyProtection="1">
      <alignment horizontal="center" vertical="center"/>
      <protection hidden="1"/>
    </xf>
    <xf numFmtId="0" fontId="7" fillId="7" borderId="28" xfId="0" applyFont="1" applyFill="1" applyBorder="1" applyAlignment="1" applyProtection="1">
      <alignment horizontal="center" vertical="center"/>
      <protection hidden="1"/>
    </xf>
    <xf numFmtId="0" fontId="7" fillId="7" borderId="25" xfId="0" applyFont="1" applyFill="1" applyBorder="1" applyAlignment="1" applyProtection="1">
      <alignment horizontal="center" vertical="center"/>
      <protection hidden="1"/>
    </xf>
    <xf numFmtId="0" fontId="7" fillId="7" borderId="24" xfId="0" applyFont="1" applyFill="1" applyBorder="1" applyAlignment="1" applyProtection="1">
      <alignment horizontal="center" vertical="center"/>
      <protection hidden="1"/>
    </xf>
    <xf numFmtId="168" fontId="13" fillId="3" borderId="45" xfId="0" applyNumberFormat="1" applyFont="1" applyFill="1" applyBorder="1" applyAlignment="1" applyProtection="1">
      <alignment horizontal="center" vertical="center"/>
      <protection locked="0" hidden="1"/>
    </xf>
    <xf numFmtId="168" fontId="13" fillId="3" borderId="22" xfId="0" applyNumberFormat="1" applyFont="1" applyFill="1" applyBorder="1" applyAlignment="1" applyProtection="1">
      <alignment horizontal="center" vertical="center"/>
      <protection locked="0" hidden="1"/>
    </xf>
    <xf numFmtId="0" fontId="7" fillId="0" borderId="98" xfId="0" applyFont="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10" fillId="6" borderId="51" xfId="0" applyFont="1" applyFill="1" applyBorder="1" applyAlignment="1" applyProtection="1">
      <alignment horizontal="center" vertical="center"/>
      <protection hidden="1"/>
    </xf>
    <xf numFmtId="0" fontId="7" fillId="6" borderId="51" xfId="0" applyFont="1" applyFill="1" applyBorder="1" applyAlignment="1" applyProtection="1">
      <alignment horizontal="center" vertical="center"/>
      <protection hidden="1"/>
    </xf>
    <xf numFmtId="0" fontId="7" fillId="6" borderId="30" xfId="0" applyFont="1" applyFill="1" applyBorder="1" applyAlignment="1" applyProtection="1">
      <alignment horizontal="center" vertical="center"/>
      <protection hidden="1"/>
    </xf>
    <xf numFmtId="0" fontId="9" fillId="0" borderId="131" xfId="0" applyFont="1" applyBorder="1" applyAlignment="1" applyProtection="1">
      <alignment horizontal="center" vertical="center"/>
      <protection locked="0"/>
    </xf>
    <xf numFmtId="0" fontId="9" fillId="0" borderId="119" xfId="0" applyFont="1" applyBorder="1" applyAlignment="1" applyProtection="1">
      <alignment horizontal="center" vertical="center"/>
      <protection locked="0"/>
    </xf>
    <xf numFmtId="0" fontId="9" fillId="0" borderId="132" xfId="0" applyFont="1" applyBorder="1" applyAlignment="1" applyProtection="1">
      <alignment horizontal="center" vertical="center"/>
      <protection locked="0"/>
    </xf>
    <xf numFmtId="0" fontId="9" fillId="0" borderId="118" xfId="0" applyFont="1" applyBorder="1" applyAlignment="1" applyProtection="1">
      <alignment horizontal="center" vertical="center"/>
      <protection locked="0"/>
    </xf>
    <xf numFmtId="1" fontId="13" fillId="3" borderId="94" xfId="0" applyNumberFormat="1" applyFont="1" applyFill="1" applyBorder="1" applyAlignment="1" applyProtection="1">
      <alignment horizontal="center" vertical="center"/>
      <protection hidden="1"/>
    </xf>
    <xf numFmtId="1" fontId="13" fillId="3" borderId="19" xfId="0" applyNumberFormat="1" applyFont="1" applyFill="1" applyBorder="1" applyAlignment="1" applyProtection="1">
      <alignment horizontal="center" vertical="center"/>
      <protection hidden="1"/>
    </xf>
    <xf numFmtId="168" fontId="7" fillId="0" borderId="140" xfId="0" applyNumberFormat="1" applyFont="1" applyBorder="1" applyAlignment="1" applyProtection="1">
      <alignment horizontal="center" vertical="center"/>
      <protection hidden="1"/>
    </xf>
    <xf numFmtId="168" fontId="7" fillId="0" borderId="56" xfId="0" applyNumberFormat="1" applyFont="1" applyBorder="1" applyAlignment="1" applyProtection="1">
      <alignment horizontal="center" vertical="center"/>
      <protection hidden="1"/>
    </xf>
    <xf numFmtId="168" fontId="9" fillId="0" borderId="141" xfId="0" applyNumberFormat="1" applyFont="1" applyBorder="1" applyAlignment="1" applyProtection="1">
      <alignment horizontal="center" vertical="center"/>
      <protection hidden="1"/>
    </xf>
    <xf numFmtId="168" fontId="9" fillId="0" borderId="57" xfId="0" applyNumberFormat="1" applyFont="1" applyBorder="1" applyAlignment="1" applyProtection="1">
      <alignment horizontal="center" vertical="center"/>
      <protection hidden="1"/>
    </xf>
    <xf numFmtId="168" fontId="9" fillId="0" borderId="133" xfId="0" applyNumberFormat="1" applyFont="1" applyBorder="1" applyAlignment="1" applyProtection="1">
      <alignment horizontal="center" vertical="center"/>
      <protection locked="0" hidden="1"/>
    </xf>
    <xf numFmtId="168" fontId="9" fillId="0" borderId="14" xfId="0" applyNumberFormat="1" applyFont="1" applyBorder="1" applyAlignment="1" applyProtection="1">
      <alignment horizontal="center" vertical="center"/>
      <protection locked="0" hidden="1"/>
    </xf>
    <xf numFmtId="0" fontId="7" fillId="0" borderId="94" xfId="0" applyFont="1" applyBorder="1" applyAlignment="1" applyProtection="1">
      <alignment horizontal="center" vertical="center"/>
      <protection hidden="1"/>
    </xf>
    <xf numFmtId="0" fontId="7" fillId="0" borderId="19" xfId="0" applyFont="1" applyBorder="1" applyAlignment="1" applyProtection="1">
      <alignment horizontal="center" vertical="center"/>
      <protection hidden="1"/>
    </xf>
    <xf numFmtId="0" fontId="4" fillId="2" borderId="78" xfId="0" applyFont="1" applyFill="1" applyBorder="1" applyAlignment="1" applyProtection="1">
      <alignment horizontal="center" vertical="center"/>
      <protection hidden="1"/>
    </xf>
    <xf numFmtId="0" fontId="7" fillId="0" borderId="62" xfId="0" applyFont="1" applyBorder="1" applyAlignment="1" applyProtection="1">
      <alignment horizontal="center" vertical="center"/>
      <protection locked="0"/>
    </xf>
    <xf numFmtId="0" fontId="10" fillId="25" borderId="72" xfId="0" applyFont="1" applyFill="1" applyBorder="1" applyAlignment="1" applyProtection="1">
      <alignment horizontal="center" vertical="center"/>
      <protection hidden="1"/>
    </xf>
    <xf numFmtId="0" fontId="10" fillId="25" borderId="51" xfId="0" applyFont="1" applyFill="1" applyBorder="1" applyAlignment="1" applyProtection="1">
      <alignment horizontal="center" vertical="center"/>
      <protection hidden="1"/>
    </xf>
    <xf numFmtId="0" fontId="10" fillId="25" borderId="30" xfId="0" applyFont="1" applyFill="1" applyBorder="1" applyAlignment="1" applyProtection="1">
      <alignment horizontal="center" vertical="center"/>
      <protection hidden="1"/>
    </xf>
    <xf numFmtId="0" fontId="33" fillId="0" borderId="0" xfId="0" applyFont="1" applyAlignment="1" applyProtection="1">
      <alignment horizontal="center" vertical="center"/>
      <protection locked="0" hidden="1"/>
    </xf>
  </cellXfs>
  <cellStyles count="3">
    <cellStyle name="Currency" xfId="1" builtinId="4"/>
    <cellStyle name="Normal" xfId="0" builtinId="0"/>
    <cellStyle name="Percent" xfId="2" builtinId="5"/>
  </cellStyles>
  <dxfs count="287">
    <dxf>
      <numFmt numFmtId="0" formatCode="General"/>
      <fill>
        <patternFill patternType="none">
          <fgColor indexed="64"/>
          <bgColor indexed="65"/>
        </patternFill>
      </fill>
      <alignment horizontal="center" vertical="center" textRotation="0" wrapText="0" indent="0" justifyLastLine="0" shrinkToFit="0" readingOrder="0"/>
      <protection locked="1" hidden="1"/>
    </dxf>
    <dxf>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numFmt numFmtId="0" formatCode="General"/>
      <fill>
        <patternFill patternType="none">
          <fgColor indexed="64"/>
          <bgColor indexed="65"/>
        </patternFill>
      </fill>
      <alignment horizontal="center" vertical="center" textRotation="0" wrapText="0" indent="0" justifyLastLine="0" shrinkToFit="0" readingOrder="0"/>
      <protection locked="0" hidden="1"/>
    </dxf>
    <dxf>
      <fill>
        <patternFill patternType="none">
          <fgColor indexed="64"/>
          <bgColor indexed="65"/>
        </patternFill>
      </fill>
      <alignment horizontal="center" vertical="center" textRotation="0" wrapText="0" indent="0" justifyLastLine="0" shrinkToFit="0" readingOrder="0"/>
      <protection locked="0" hidden="1"/>
    </dxf>
    <dxf>
      <border>
        <bottom style="hair">
          <color indexed="64"/>
        </bottom>
      </border>
    </dxf>
    <dxf>
      <border>
        <bottom style="hair">
          <color indexed="64"/>
        </bottom>
      </border>
    </dxf>
    <dxf>
      <border>
        <bottom style="hair">
          <color indexed="64"/>
        </bottom>
      </border>
    </dxf>
    <dxf>
      <fill>
        <patternFill>
          <bgColor rgb="FFFF5050"/>
        </patternFill>
      </fill>
    </dxf>
    <dxf>
      <fill>
        <patternFill>
          <bgColor rgb="FFFF5050"/>
        </patternFill>
      </fill>
    </dxf>
    <dxf>
      <fill>
        <patternFill>
          <bgColor theme="5" tint="-0.24994659260841701"/>
        </patternFill>
      </fill>
    </dxf>
    <dxf>
      <fill>
        <patternFill>
          <bgColor rgb="FFFF5050"/>
        </patternFill>
      </fill>
    </dxf>
    <dxf>
      <fill>
        <patternFill>
          <bgColor rgb="FFFF5050"/>
        </patternFill>
      </fill>
    </dxf>
    <dxf>
      <font>
        <color theme="0"/>
      </font>
      <fill>
        <patternFill>
          <bgColor rgb="FFFF0000"/>
        </patternFill>
      </fill>
    </dxf>
    <dxf>
      <fill>
        <patternFill>
          <bgColor theme="1" tint="4.9989318521683403E-2"/>
        </patternFill>
      </fill>
    </dxf>
    <dxf>
      <fill>
        <patternFill>
          <bgColor theme="1" tint="4.9989318521683403E-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ont>
        <color theme="0"/>
      </font>
      <fill>
        <patternFill>
          <bgColor theme="0"/>
        </patternFill>
      </fill>
      <border>
        <left style="hair">
          <color theme="0"/>
        </left>
        <right style="hair">
          <color theme="0"/>
        </right>
        <top style="hair">
          <color theme="0"/>
        </top>
        <bottom style="hair">
          <color theme="0"/>
        </bottom>
      </border>
    </dxf>
    <dxf>
      <fill>
        <patternFill>
          <bgColor rgb="FFFF7C80"/>
        </patternFill>
      </fill>
    </dxf>
    <dxf>
      <fill>
        <patternFill>
          <bgColor theme="5" tint="-0.24994659260841701"/>
        </patternFill>
      </fill>
    </dxf>
    <dxf>
      <fill>
        <patternFill>
          <bgColor rgb="FFFF3F33"/>
        </patternFill>
      </fill>
    </dxf>
    <dxf>
      <fill>
        <patternFill>
          <bgColor rgb="FFFF0000"/>
        </patternFill>
      </fill>
    </dxf>
    <dxf>
      <fill>
        <patternFill>
          <bgColor rgb="FFFF0000"/>
        </patternFill>
      </fill>
    </dxf>
    <dxf>
      <fill>
        <patternFill>
          <bgColor theme="0" tint="-0.14996795556505021"/>
        </patternFill>
      </fill>
    </dxf>
    <dxf>
      <font>
        <color theme="0"/>
      </font>
      <fill>
        <patternFill>
          <bgColor rgb="FFFF0000"/>
        </patternFill>
      </fill>
    </dxf>
    <dxf>
      <font>
        <color theme="0"/>
      </font>
      <fill>
        <patternFill>
          <bgColor rgb="FFFF0000"/>
        </patternFill>
      </fill>
    </dxf>
    <dxf>
      <fill>
        <patternFill>
          <bgColor rgb="FF1C1C1C"/>
        </patternFill>
      </fill>
    </dxf>
    <dxf>
      <fill>
        <patternFill>
          <bgColor theme="5" tint="-0.24994659260841701"/>
        </patternFill>
      </fill>
    </dxf>
    <dxf>
      <fill>
        <patternFill>
          <bgColor rgb="FFFF5050"/>
        </patternFill>
      </fill>
    </dxf>
    <dxf>
      <fill>
        <patternFill>
          <bgColor rgb="FFFF5050"/>
        </patternFill>
      </fill>
    </dxf>
    <dxf>
      <fill>
        <patternFill>
          <bgColor rgb="FFFF5050"/>
        </patternFill>
      </fill>
    </dxf>
    <dxf>
      <fill>
        <patternFill>
          <bgColor rgb="FFFF5050"/>
        </patternFill>
      </fill>
    </dxf>
    <dxf>
      <font>
        <color theme="0"/>
      </font>
      <fill>
        <patternFill>
          <bgColor rgb="FFFF0000"/>
        </patternFill>
      </fill>
    </dxf>
    <dxf>
      <fill>
        <patternFill>
          <bgColor theme="1" tint="4.9989318521683403E-2"/>
        </patternFill>
      </fill>
    </dxf>
    <dxf>
      <fill>
        <patternFill>
          <bgColor theme="1" tint="4.9989318521683403E-2"/>
        </patternFill>
      </fill>
    </dxf>
    <dxf>
      <font>
        <color theme="0"/>
      </font>
      <fill>
        <patternFill>
          <bgColor rgb="FFFF0000"/>
        </patternFill>
      </fill>
    </dxf>
    <dxf>
      <fill>
        <patternFill>
          <bgColor rgb="FFFF7C80"/>
        </patternFill>
      </fill>
    </dxf>
    <dxf>
      <fill>
        <patternFill>
          <bgColor theme="5" tint="-0.24994659260841701"/>
        </patternFill>
      </fill>
    </dxf>
    <dxf>
      <fill>
        <patternFill>
          <bgColor rgb="FFFF5050"/>
        </patternFill>
      </fill>
    </dxf>
    <dxf>
      <fill>
        <patternFill>
          <bgColor rgb="FFFF0000"/>
        </patternFill>
      </fill>
    </dxf>
    <dxf>
      <fill>
        <patternFill>
          <bgColor rgb="FFFF5050"/>
        </patternFill>
      </fill>
    </dxf>
    <dxf>
      <font>
        <color theme="0"/>
      </font>
      <fill>
        <patternFill>
          <bgColor rgb="FFFF0000"/>
        </patternFill>
      </fill>
    </dxf>
    <dxf>
      <font>
        <color theme="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1C1C1C"/>
        </patternFill>
      </fill>
    </dxf>
    <dxf>
      <fill>
        <patternFill>
          <bgColor rgb="FFFF5050"/>
        </patternFill>
      </fill>
    </dxf>
    <dxf>
      <fill>
        <patternFill>
          <bgColor theme="9" tint="0.59996337778862885"/>
        </patternFill>
      </fill>
    </dxf>
    <dxf>
      <fill>
        <patternFill>
          <bgColor theme="1" tint="4.9989318521683403E-2"/>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theme="1" tint="4.9989318521683403E-2"/>
        </patternFill>
      </fill>
    </dxf>
    <dxf>
      <font>
        <color theme="0"/>
      </font>
      <fill>
        <patternFill>
          <bgColor rgb="FFFF0000"/>
        </patternFill>
      </fill>
    </dxf>
    <dxf>
      <font>
        <color theme="0"/>
      </font>
      <fill>
        <patternFill>
          <bgColor rgb="FFFF0000"/>
        </patternFill>
      </fill>
    </dxf>
    <dxf>
      <fill>
        <patternFill patternType="none">
          <bgColor indexed="65"/>
        </patternFill>
      </fill>
    </dxf>
    <dxf>
      <fill>
        <patternFill>
          <bgColor rgb="FFFF5050"/>
        </patternFill>
      </fill>
    </dxf>
    <dxf>
      <fill>
        <patternFill>
          <bgColor rgb="FFFF5050"/>
        </patternFill>
      </fill>
    </dxf>
    <dxf>
      <fill>
        <patternFill>
          <bgColor theme="9" tint="0.59996337778862885"/>
        </patternFill>
      </fill>
    </dxf>
    <dxf>
      <fill>
        <patternFill>
          <bgColor theme="1" tint="4.9989318521683403E-2"/>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theme="1" tint="4.9989318521683403E-2"/>
        </patternFill>
      </fill>
    </dxf>
    <dxf>
      <font>
        <color theme="0"/>
      </font>
      <fill>
        <patternFill>
          <bgColor rgb="FFFF0000"/>
        </patternFill>
      </fill>
    </dxf>
    <dxf>
      <font>
        <color theme="0"/>
      </font>
      <fill>
        <patternFill>
          <bgColor rgb="FFFF0000"/>
        </patternFill>
      </fill>
    </dxf>
    <dxf>
      <fill>
        <patternFill patternType="none">
          <bgColor indexed="65"/>
        </patternFill>
      </fill>
    </dxf>
    <dxf>
      <fill>
        <patternFill>
          <bgColor theme="9" tint="0.59996337778862885"/>
        </patternFill>
      </fill>
    </dxf>
    <dxf>
      <fill>
        <patternFill>
          <bgColor theme="9" tint="0.59996337778862885"/>
        </patternFill>
      </fill>
    </dxf>
    <dxf>
      <fill>
        <patternFill>
          <bgColor rgb="FFFF5050"/>
        </patternFill>
      </fill>
    </dxf>
    <dxf>
      <fill>
        <patternFill>
          <bgColor rgb="FFFF5050"/>
        </patternFill>
      </fill>
    </dxf>
    <dxf>
      <fill>
        <patternFill patternType="none">
          <bgColor indexed="65"/>
        </patternFill>
      </fill>
    </dxf>
    <dxf>
      <font>
        <color theme="0"/>
      </font>
      <fill>
        <patternFill>
          <bgColor rgb="FFFF00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1C1C1C"/>
        </patternFill>
      </fill>
    </dxf>
    <dxf>
      <numFmt numFmtId="0" formatCode="General"/>
      <alignment horizontal="center" vertical="center" textRotation="0" wrapText="0" indent="0" justifyLastLine="0" shrinkToFit="0" readingOrder="0"/>
      <border diagonalUp="0" diagonalDown="0">
        <left/>
        <right style="medium">
          <color indexed="64"/>
        </right>
        <top/>
        <bottom/>
        <vertical/>
        <horizontal/>
      </border>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border diagonalUp="0" diagonalDown="0">
        <left style="medium">
          <color indexed="64"/>
        </left>
        <right/>
        <top/>
        <bottom/>
        <vertical/>
        <horizontal/>
      </border>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2"/>
      <border diagonalUp="0" diagonalDown="0">
        <left/>
        <right/>
        <top style="thin">
          <color theme="4" tint="0.39997558519241921"/>
        </top>
        <bottom/>
        <vertical/>
        <horizontal/>
      </border>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2"/>
      <border diagonalUp="0" diagonalDown="0">
        <left style="medium">
          <color rgb="FF000000"/>
        </left>
        <right/>
        <top style="thin">
          <color theme="4" tint="0.39997558519241921"/>
        </top>
        <bottom/>
        <vertical/>
        <horizontal/>
      </border>
      <protection locked="1" hidden="1"/>
    </dxf>
    <dxf>
      <alignment horizontal="center" vertical="center" textRotation="0" wrapText="0" indent="0" justifyLastLine="0" shrinkToFit="0" readingOrder="0"/>
      <protection locked="1" hidden="1"/>
    </dxf>
    <dxf>
      <font>
        <sz val="12"/>
      </font>
      <numFmt numFmtId="168" formatCode="#,##0\ &quot;ج.م.‏&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medium">
          <color rgb="FF000000"/>
        </left>
        <right/>
        <top style="thin">
          <color theme="4" tint="0.39997558519241921"/>
        </top>
        <bottom/>
        <vertical/>
        <horizontal/>
      </border>
      <protection locked="1" hidden="1"/>
    </dxf>
    <dxf>
      <alignment horizontal="center" vertical="center" textRotation="0" wrapText="0" indent="0" justifyLastLine="0" shrinkToFit="0" readingOrder="0"/>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medium">
          <color rgb="FF000000"/>
        </left>
        <right/>
        <top style="thin">
          <color theme="4" tint="0.39997558519241921"/>
        </top>
        <bottom/>
        <vertical/>
        <horizontal/>
      </border>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2"/>
      <border diagonalUp="0" diagonalDown="0">
        <left style="medium">
          <color rgb="FF000000"/>
        </left>
        <right/>
        <top style="thin">
          <color theme="4" tint="0.39997558519241921"/>
        </top>
        <bottom/>
        <vertical/>
        <horizontal/>
      </border>
      <protection locked="1" hidden="1"/>
    </dxf>
    <dxf>
      <font>
        <sz val="12"/>
      </font>
      <numFmt numFmtId="165" formatCode="#,##0.00\ &quot;ج.م.‏&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medium">
          <color rgb="FF000000"/>
        </right>
        <top style="thin">
          <color theme="4" tint="0.39997558519241921"/>
        </top>
        <bottom/>
        <vertical/>
        <horizontal/>
      </border>
      <protection locked="1" hidden="1"/>
    </dxf>
    <dxf>
      <font>
        <sz val="14"/>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medium">
          <color rgb="FF000000"/>
        </left>
        <right/>
        <top style="thin">
          <color theme="4" tint="0.39997558519241921"/>
        </top>
        <bottom/>
        <vertical/>
        <horizontal/>
      </border>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1"/>
    </dxf>
    <dxf>
      <font>
        <sz val="12"/>
      </font>
      <numFmt numFmtId="165" formatCode="#,##0.00\ &quot;ج.م.‏&quot;"/>
      <fill>
        <patternFill patternType="none">
          <fgColor indexed="64"/>
          <bgColor indexed="65"/>
        </patternFill>
      </fill>
      <alignment horizontal="center" vertical="center" textRotation="0" wrapText="0" indent="0" justifyLastLine="0" shrinkToFit="0" readingOrder="0"/>
      <protection locked="0" hidden="1"/>
    </dxf>
    <dxf>
      <font>
        <sz val="12"/>
      </font>
      <alignment horizontal="center" vertical="center" textRotation="0" wrapText="0" indent="0" justifyLastLine="0" shrinkToFit="0" readingOrder="0"/>
      <protection locked="0" hidden="1"/>
    </dxf>
    <dxf>
      <font>
        <sz val="12"/>
      </font>
      <numFmt numFmtId="1" formatCode="0"/>
      <alignment horizontal="center" vertical="center" textRotation="0" wrapText="0" indent="0" justifyLastLine="0" shrinkToFit="0" readingOrder="0"/>
      <protection locked="0" hidden="1"/>
    </dxf>
    <dxf>
      <font>
        <sz val="12"/>
      </font>
      <alignment horizontal="center" vertical="center" textRotation="0" wrapText="0" indent="0" justifyLastLine="0" shrinkToFit="0" readingOrder="0"/>
      <protection locked="0" hidden="1"/>
    </dxf>
    <dxf>
      <font>
        <sz val="14"/>
      </font>
      <numFmt numFmtId="0" formatCode="General"/>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border outline="0">
        <right style="thin">
          <color theme="9" tint="0.39997558519241921"/>
        </right>
      </border>
    </dxf>
    <dxf>
      <fill>
        <patternFill patternType="none">
          <bgColor auto="1"/>
        </patternFill>
      </fill>
      <alignment horizontal="center" vertical="center" textRotation="0" wrapText="0" indent="0" justifyLastLine="0" shrinkToFit="0" readingOrder="0"/>
      <protection locked="0" hidden="1"/>
    </dxf>
    <dxf>
      <fill>
        <patternFill patternType="none">
          <bgColor auto="1"/>
        </patternFill>
      </fill>
      <alignment horizontal="center" vertical="center" textRotation="0" wrapText="0" indent="0" justifyLastLine="0" shrinkToFit="0" readingOrder="0"/>
      <protection locked="0" hidden="1"/>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protection hidden="1"/>
    </dxf>
    <dxf>
      <border>
        <bottom style="medium">
          <color indexed="64"/>
        </bottom>
      </border>
    </dxf>
    <dxf>
      <font>
        <strike val="0"/>
        <outline val="0"/>
        <shadow val="0"/>
        <u val="none"/>
        <vertAlign val="baseline"/>
        <sz val="11"/>
        <color auto="1"/>
        <name val="Calibri"/>
        <scheme val="minor"/>
      </font>
      <fill>
        <patternFill patternType="solid">
          <fgColor indexed="64"/>
          <bgColor theme="0" tint="-0.34998626667073579"/>
        </patternFill>
      </fill>
      <alignment horizontal="center" vertical="center" textRotation="0" wrapText="0" indent="0" justifyLastLine="0" shrinkToFit="0" readingOrder="0"/>
      <border diagonalUp="0" diagonalDown="0">
        <left/>
        <right/>
        <top/>
        <bottom/>
      </border>
      <protection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0" hidden="1"/>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protection locked="0" hidden="1"/>
    </dxf>
    <dxf>
      <font>
        <b/>
        <strike val="0"/>
        <outline val="0"/>
        <shadow val="0"/>
        <u val="none"/>
        <vertAlign val="baseline"/>
        <sz val="11"/>
        <color theme="0"/>
        <name val="Calibri"/>
        <scheme val="minor"/>
      </font>
      <fill>
        <patternFill patternType="solid">
          <fgColor indexed="64"/>
          <bgColor theme="1" tint="0.14999847407452621"/>
        </patternFill>
      </fill>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protection locked="0" hidden="1"/>
    </dxf>
    <dxf>
      <font>
        <b val="0"/>
        <i val="0"/>
        <strike val="0"/>
        <condense val="0"/>
        <extend val="0"/>
        <outline val="0"/>
        <shadow val="0"/>
        <u val="none"/>
        <vertAlign val="baseline"/>
        <sz val="12"/>
        <color theme="1"/>
        <name val="Calibri"/>
        <scheme val="minor"/>
      </font>
      <numFmt numFmtId="168" formatCode="#,##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justifyLastLine="0" shrinkToFit="0" readingOrder="0"/>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0"/>
      <border diagonalUp="0" diagonalDown="0">
        <left style="medium">
          <color indexed="64"/>
        </left>
        <right/>
        <top/>
        <bottom/>
      </border>
      <protection locked="0" hidden="1"/>
    </dxf>
    <dxf>
      <border outline="0">
        <left style="medium">
          <color indexed="64"/>
        </left>
        <right style="medium">
          <color indexed="64"/>
        </right>
        <top style="medium">
          <color indexed="64"/>
        </top>
        <bottom style="medium">
          <color indexed="64"/>
        </bottom>
      </border>
    </dxf>
    <dxf>
      <protection locked="0" hidden="1"/>
    </dxf>
    <dxf>
      <border>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left/>
        <right/>
        <top/>
        <bottom/>
      </border>
      <protection locked="0"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2"/>
        <color theme="1"/>
        <name val="Calibri"/>
        <scheme val="minor"/>
      </font>
      <numFmt numFmtId="165" formatCode="#,##0.0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2"/>
      <border diagonalUp="0" diagonalDown="0">
        <left/>
        <right/>
        <top style="thin">
          <color theme="4" tint="0.39997558519241921"/>
        </top>
        <bottom/>
        <vertical/>
        <horizontal/>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2"/>
      <border diagonalUp="0" diagonalDown="0">
        <left style="medium">
          <color indexed="64"/>
        </left>
        <right/>
        <top/>
        <bottom/>
      </border>
      <protection locked="0" hidden="1"/>
    </dxf>
    <dxf>
      <border outline="0">
        <left style="medium">
          <color rgb="FF000000"/>
        </left>
        <right style="medium">
          <color rgb="FF000000"/>
        </right>
        <top style="medium">
          <color rgb="FF000000"/>
        </top>
        <bottom style="medium">
          <color rgb="FF000000"/>
        </bottom>
      </border>
    </dxf>
    <dxf>
      <protection locked="0" hidden="1"/>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numFmt numFmtId="0" formatCode="Genera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Calibri"/>
        <scheme val="minor"/>
      </font>
      <numFmt numFmtId="165" formatCode="#,##0.0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0"/>
      <border diagonalUp="0" diagonalDown="0">
        <left style="medium">
          <color indexed="64"/>
        </left>
        <right/>
        <top/>
        <bottom/>
      </border>
      <protection locked="0" hidden="1"/>
    </dxf>
    <dxf>
      <border outline="0">
        <left style="medium">
          <color rgb="FF000000"/>
        </left>
        <right style="medium">
          <color rgb="FF000000"/>
        </right>
        <top style="medium">
          <color rgb="FF000000"/>
        </top>
        <bottom style="medium">
          <color rgb="FF000000"/>
        </bottom>
      </border>
    </dxf>
    <dxf>
      <protection locked="0" hidden="1"/>
    </dxf>
    <dxf>
      <border>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left/>
        <right/>
        <top/>
        <bottom/>
      </border>
      <protection locked="0" hidden="1"/>
    </dxf>
    <dxf>
      <font>
        <b val="0"/>
        <i val="0"/>
        <strike val="0"/>
        <condense val="0"/>
        <extend val="0"/>
        <outline val="0"/>
        <shadow val="0"/>
        <u val="none"/>
        <vertAlign val="baseline"/>
        <sz val="12"/>
        <color theme="1"/>
        <name val="Calibri"/>
        <scheme val="minor"/>
      </font>
      <numFmt numFmtId="165" formatCode="#,##0.0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0"/>
      <border diagonalUp="0" diagonalDown="0">
        <left style="medium">
          <color indexed="64"/>
        </left>
        <right/>
        <top/>
        <bottom/>
      </border>
      <protection locked="0" hidden="1"/>
    </dxf>
    <dxf>
      <border outline="0">
        <left style="medium">
          <color rgb="FF000000"/>
        </left>
        <right style="medium">
          <color rgb="FF000000"/>
        </right>
        <top style="medium">
          <color rgb="FF000000"/>
        </top>
        <bottom style="medium">
          <color rgb="FF000000"/>
        </bottom>
      </border>
    </dxf>
    <dxf>
      <protection locked="0" hidden="1"/>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Calibri"/>
        <scheme val="minor"/>
      </font>
      <numFmt numFmtId="165" formatCode="#,##0.0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2"/>
      <border diagonalUp="0" diagonalDown="0">
        <left style="medium">
          <color indexed="64"/>
        </left>
        <right/>
        <top/>
        <bottom/>
      </border>
      <protection locked="0" hidden="1"/>
    </dxf>
    <dxf>
      <border outline="0">
        <left style="medium">
          <color rgb="FF000000"/>
        </left>
        <right style="medium">
          <color rgb="FF000000"/>
        </right>
        <top style="medium">
          <color rgb="FF000000"/>
        </top>
        <bottom style="medium">
          <color rgb="FF000000"/>
        </bottom>
      </border>
    </dxf>
    <dxf>
      <protection locked="0" hidden="1"/>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Calibri"/>
        <scheme val="minor"/>
      </font>
      <numFmt numFmtId="165" formatCode="#,##0.00\ &quot;ج.م.‏&quot;"/>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4"/>
        <color theme="1"/>
        <name val="Calibri"/>
        <scheme val="minor"/>
      </font>
      <numFmt numFmtId="0" formatCode="General"/>
      <alignment horizontal="center" vertical="center" textRotation="0" wrapText="0" indent="0" justifyLastLine="0" shrinkToFit="0" readingOrder="0"/>
      <border diagonalUp="0" diagonalDown="0">
        <left style="medium">
          <color indexed="64"/>
        </left>
        <right/>
        <top/>
        <bottom/>
      </border>
      <protection locked="0" hidden="1"/>
    </dxf>
    <dxf>
      <border outline="0">
        <left style="medium">
          <color rgb="FF000000"/>
        </left>
        <right style="medium">
          <color rgb="FF000000"/>
        </right>
        <top style="medium">
          <color rgb="FF000000"/>
        </top>
        <bottom style="medium">
          <color rgb="FF000000"/>
        </bottom>
      </border>
    </dxf>
    <dxf>
      <protection locked="0" hidden="1"/>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numFmt numFmtId="168" formatCode="#,##0\ &quot;ج.م.‏&quot;"/>
      <fill>
        <patternFill patternType="none">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Calibri"/>
        <scheme val="minor"/>
      </font>
      <numFmt numFmtId="168" formatCode="#,##0\ &quot;ج.م.‏&quot;"/>
      <fill>
        <patternFill patternType="none">
          <bgColor indexed="65"/>
        </patternFill>
      </fill>
      <alignment horizontal="center" vertical="center" textRotation="0" wrapText="0" indent="0" justifyLastLine="0" shrinkToFit="0" readingOrder="0"/>
      <border diagonalUp="0" diagonalDown="0">
        <left/>
        <right style="medium">
          <color indexed="64"/>
        </right>
        <top/>
        <bottom/>
      </border>
      <protection locked="0" hidden="1"/>
    </dxf>
    <dxf>
      <font>
        <b val="0"/>
        <i val="0"/>
        <strike val="0"/>
        <condense val="0"/>
        <extend val="0"/>
        <outline val="0"/>
        <shadow val="0"/>
        <u val="none"/>
        <vertAlign val="baseline"/>
        <sz val="12"/>
        <color theme="1"/>
        <name val="Calibri"/>
        <scheme val="minor"/>
      </font>
      <numFmt numFmtId="0" formatCode="General"/>
      <fill>
        <patternFill patternType="none">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4"/>
        <color theme="1"/>
        <name val="Calibri"/>
        <scheme val="minor"/>
      </font>
      <numFmt numFmtId="0" formatCode="General"/>
      <fill>
        <patternFill patternType="none">
          <bgColor indexed="65"/>
        </patternFill>
      </fill>
      <alignment horizontal="center" vertical="center" textRotation="0" wrapText="0" indent="0" justifyLastLine="0" shrinkToFit="0" readingOrder="0"/>
      <border diagonalUp="0" diagonalDown="0">
        <left style="medium">
          <color indexed="64"/>
        </left>
        <right/>
        <top/>
        <bottom/>
      </border>
      <protection locked="0" hidden="1"/>
    </dxf>
    <dxf>
      <border outline="0">
        <left style="medium">
          <color indexed="64"/>
        </left>
        <right style="medium">
          <color indexed="64"/>
        </right>
        <top style="medium">
          <color indexed="64"/>
        </top>
        <bottom style="medium">
          <color indexed="64"/>
        </bottom>
      </border>
    </dxf>
    <dxf>
      <fill>
        <patternFill patternType="none">
          <bgColor indexed="65"/>
        </patternFill>
      </fill>
      <protection locked="0" hidden="1"/>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medium">
          <color indexed="64"/>
        </top>
        <bottom style="medium">
          <color indexed="64"/>
        </bottom>
      </border>
      <protection locked="0" hidden="1"/>
    </dxf>
    <dxf>
      <font>
        <b val="0"/>
        <i val="0"/>
        <strike val="0"/>
        <condense val="0"/>
        <extend val="0"/>
        <outline val="0"/>
        <shadow val="0"/>
        <u val="none"/>
        <vertAlign val="baseline"/>
        <sz val="12"/>
        <color theme="1"/>
        <name val="Calibri"/>
        <scheme val="minor"/>
      </font>
      <numFmt numFmtId="165" formatCode="#,##0.00\ &quot;ج.م.‏&quot;"/>
      <fill>
        <patternFill patternType="none">
          <fgColor indexed="64"/>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ill>
        <patternFill patternType="none">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ill>
        <patternFill patternType="none">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ont>
        <b val="0"/>
        <i val="0"/>
        <strike val="0"/>
        <condense val="0"/>
        <extend val="0"/>
        <outline val="0"/>
        <shadow val="0"/>
        <u val="none"/>
        <vertAlign val="baseline"/>
        <sz val="12"/>
        <color theme="1"/>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indexed="64"/>
        </top>
        <bottom style="medium">
          <color indexed="64"/>
        </bottom>
      </border>
      <protection locked="0" hidden="1"/>
    </dxf>
    <dxf>
      <border>
        <top style="medium">
          <color indexed="64"/>
        </top>
      </border>
    </dxf>
    <dxf>
      <border diagonalUp="0" diagonalDown="0">
        <left style="medium">
          <color indexed="64"/>
        </left>
        <right style="medium">
          <color indexed="64"/>
        </right>
        <top style="medium">
          <color indexed="64"/>
        </top>
        <bottom style="medium">
          <color indexed="64"/>
        </bottom>
      </border>
    </dxf>
    <dxf>
      <fill>
        <patternFill patternType="none">
          <bgColor indexed="65"/>
        </patternFill>
      </fill>
      <alignment horizontal="center" vertical="center" textRotation="0" wrapText="0" indent="0" justifyLastLine="0" shrinkToFit="0" readingOrder="0"/>
      <protection locked="0" hidden="1"/>
    </dxf>
    <dxf>
      <border>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protection locked="0" hidden="1"/>
    </dxf>
    <dxf>
      <numFmt numFmtId="166" formatCode="#,##0.0\ &quot;ج.م.‏&quot;"/>
      <alignment horizontal="center" vertical="center" textRotation="0" wrapText="0" indent="0" justifyLastLine="0" shrinkToFit="0" readingOrder="0"/>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2"/>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center" vertical="center" textRotation="0" indent="0" justifyLastLine="0" shrinkToFit="0" readingOrder="0"/>
    </dxf>
    <dxf>
      <border>
        <bottom style="medium">
          <color indexed="64"/>
        </bottom>
      </border>
    </dxf>
    <dxf>
      <font>
        <b/>
        <i val="0"/>
        <strike val="0"/>
        <condense val="0"/>
        <extend val="0"/>
        <outline val="0"/>
        <shadow val="0"/>
        <u val="none"/>
        <vertAlign val="baseline"/>
        <sz val="16"/>
        <color auto="1"/>
        <name val="Calibri"/>
        <scheme val="minor"/>
      </font>
      <fill>
        <patternFill patternType="solid">
          <fgColor indexed="64"/>
          <bgColor theme="4" tint="0.39997558519241921"/>
        </patternFill>
      </fill>
      <alignment horizontal="center" vertical="center" textRotation="0" wrapText="0" indent="0" justifyLastLine="0" shrinkToFit="0" readingOrder="0"/>
      <border diagonalUp="0" diagonalDown="0">
        <left/>
        <right/>
        <top/>
        <bottom/>
      </border>
      <protection locked="1" hidden="0"/>
    </dxf>
    <dxf>
      <numFmt numFmtId="166" formatCode="#,##0.0\ &quot;ج.م.‏&quot;"/>
      <alignment horizontal="center" vertical="center" textRotation="0" wrapText="0" indent="0" justifyLastLine="0" shrinkToFit="0" readingOrder="0"/>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2"/>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6"/>
        <color auto="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1" hidden="0"/>
    </dxf>
  </dxfs>
  <tableStyles count="0" defaultTableStyle="TableStyleMedium2" defaultPivotStyle="PivotStyleLight16"/>
  <colors>
    <mruColors>
      <color rgb="FF00D300"/>
      <color rgb="FF00E700"/>
      <color rgb="FF00DA63"/>
      <color rgb="FFFF5050"/>
      <color rgb="FFFF7C8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Radio" firstButton="1" fmlaLink="$Z$22" lockText="1"/>
</file>

<file path=xl/ctrlProps/ctrlProp2.xml><?xml version="1.0" encoding="utf-8"?>
<formControlPr xmlns="http://schemas.microsoft.com/office/spreadsheetml/2009/9/main" objectType="Radio" checked="Checked" lockText="1"/>
</file>

<file path=xl/ctrlProps/ctrlProp3.xml><?xml version="1.0" encoding="utf-8"?>
<formControlPr xmlns="http://schemas.microsoft.com/office/spreadsheetml/2009/9/main" objectType="CheckBox" fmlaLink="$L$1" lockText="1" noThreeD="1"/>
</file>

<file path=xl/ctrlProps/ctrlProp4.xml><?xml version="1.0" encoding="utf-8"?>
<formControlPr xmlns="http://schemas.microsoft.com/office/spreadsheetml/2009/9/main" objectType="CheckBox" fmlaLink="$P$1" lockText="1" noThreeD="1"/>
</file>

<file path=xl/ctrlProps/ctrlProp5.xml><?xml version="1.0" encoding="utf-8"?>
<formControlPr xmlns="http://schemas.microsoft.com/office/spreadsheetml/2009/9/main" objectType="CheckBox" fmlaLink="$Y$9" lockText="1" noThreeD="1"/>
</file>

<file path=xl/ctrlProps/ctrlProp6.xml><?xml version="1.0" encoding="utf-8"?>
<formControlPr xmlns="http://schemas.microsoft.com/office/spreadsheetml/2009/9/main" objectType="CheckBox" fmlaLink="$Y$9" lockText="1" noThreeD="1"/>
</file>

<file path=xl/ctrlProps/ctrlProp7.xml><?xml version="1.0" encoding="utf-8"?>
<formControlPr xmlns="http://schemas.microsoft.com/office/spreadsheetml/2009/9/main" objectType="CheckBox" fmlaLink="$L$22" lockText="1"/>
</file>

<file path=xl/ctrlProps/ctrlProp8.xml><?xml version="1.0" encoding="utf-8"?>
<formControlPr xmlns="http://schemas.microsoft.com/office/spreadsheetml/2009/9/main" objectType="CheckBox" fmlaLink="$W$3" lockText="1"/>
</file>

<file path=xl/ctrlProps/ctrlProp9.xml><?xml version="1.0" encoding="utf-8"?>
<formControlPr xmlns="http://schemas.microsoft.com/office/spreadsheetml/2009/9/main" objectType="CheckBox" fmlaLink="$M$14" lockText="1"/>
</file>

<file path=xl/ctrlProps/ctrlProp10.xml><?xml version="1.0" encoding="utf-8"?>
<formControlPr xmlns="http://schemas.microsoft.com/office/spreadsheetml/2009/9/main" objectType="CheckBox" fmlaLink="$V$3" lockText="1"/>
</file>

<file path=xl/ctrlProps/ctrlProp11.xml><?xml version="1.0" encoding="utf-8"?>
<formControlPr xmlns="http://schemas.microsoft.com/office/spreadsheetml/2009/9/main" objectType="CheckBox" fmlaLink="$X$3" lockText="1"/>
</file>

<file path=xl/ctrlProps/ctrlProp12.xml><?xml version="1.0" encoding="utf-8"?>
<formControlPr xmlns="http://schemas.microsoft.com/office/spreadsheetml/2009/9/main" objectType="CheckBox" fmlaLink="$M$14" lockText="1"/>
</file>

<file path=xl/ctrlProps/ctrlProp13.xml><?xml version="1.0" encoding="utf-8"?>
<formControlPr xmlns="http://schemas.microsoft.com/office/spreadsheetml/2009/9/main" objectType="CheckBox" fmlaLink="$M$14" lockText="1"/>
</file>

<file path=xl/drawings/_rels/drawing1.xml.rels><?xml version="1.0" encoding="UTF-8" standalone="yes"?>
<Relationships xmlns="http://schemas.openxmlformats.org/package/2006/relationships"><Relationship Id="rId1" Type="http://schemas.openxmlformats.org/officeDocument/2006/relationships/hyperlink" Target="https://docs.google.com/spreadsheets/d/1KnZAO1zgba2W6eBDVKsSKhf4dAvjQqZPLRp-jQDCVj8/edit?usp=sharing"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docs.google.com/spreadsheets/d/1KnZAO1zgba2W6eBDVKsSKhf4dAvjQqZPLRp-jQDCVj8/edit?usp=sharing"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docs.google.com/spreadsheets/d/1KnZAO1zgba2W6eBDVKsSKhf4dAvjQqZPLRp-jQDCVj8/edit?usp=sharing" TargetMode="External"/></Relationships>
</file>

<file path=xl/drawings/drawing1.xml><?xml version="1.0" encoding="utf-8"?>
<xdr:wsDr xmlns:xdr="http://schemas.openxmlformats.org/drawingml/2006/spreadsheetDrawing" xmlns:a="http://schemas.openxmlformats.org/drawingml/2006/main">
  <xdr:twoCellAnchor>
    <xdr:from>
      <xdr:col>17</xdr:col>
      <xdr:colOff>19725</xdr:colOff>
      <xdr:row>4</xdr:row>
      <xdr:rowOff>33337</xdr:rowOff>
    </xdr:from>
    <xdr:to>
      <xdr:col>18</xdr:col>
      <xdr:colOff>123825</xdr:colOff>
      <xdr:row>4</xdr:row>
      <xdr:rowOff>276225</xdr:rowOff>
    </xdr:to>
    <xdr:sp macro="[0]!Inner_Yes" textlink="">
      <xdr:nvSpPr>
        <xdr:cNvPr id="2" name="Rectangle 11">
          <a:extLst>
            <a:ext uri="{FF2B5EF4-FFF2-40B4-BE49-F238E27FC236}">
              <a16:creationId xmlns:a16="http://schemas.microsoft.com/office/drawing/2014/main" id="{00000000-0008-0000-0000-000002000000}"/>
            </a:ext>
          </a:extLst>
        </xdr:cNvPr>
        <xdr:cNvSpPr/>
      </xdr:nvSpPr>
      <xdr:spPr>
        <a:xfrm>
          <a:off x="9819265350" y="719137"/>
          <a:ext cx="732750" cy="242888"/>
        </a:xfrm>
        <a:prstGeom prst="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1" anchor="ctr"/>
        <a:lstStyle/>
        <a:p>
          <a:pPr algn="ctr" rtl="1"/>
          <a:r>
            <a:rPr lang="ar-EG" sz="1400" b="1">
              <a:effectLst>
                <a:outerShdw blurRad="50800" dist="38100" dir="5400000" algn="t" rotWithShape="0">
                  <a:prstClr val="black">
                    <a:alpha val="40000"/>
                  </a:prstClr>
                </a:outerShdw>
              </a:effectLst>
            </a:rPr>
            <a:t>نعم</a:t>
          </a:r>
        </a:p>
      </xdr:txBody>
    </xdr:sp>
    <xdr:clientData/>
  </xdr:twoCellAnchor>
  <xdr:twoCellAnchor>
    <xdr:from>
      <xdr:col>18</xdr:col>
      <xdr:colOff>334051</xdr:colOff>
      <xdr:row>4</xdr:row>
      <xdr:rowOff>26194</xdr:rowOff>
    </xdr:from>
    <xdr:to>
      <xdr:col>19</xdr:col>
      <xdr:colOff>555625</xdr:colOff>
      <xdr:row>4</xdr:row>
      <xdr:rowOff>283369</xdr:rowOff>
    </xdr:to>
    <xdr:sp macro="[0]!Inner_No" textlink="">
      <xdr:nvSpPr>
        <xdr:cNvPr id="3" name="Rectangle 12">
          <a:extLst>
            <a:ext uri="{FF2B5EF4-FFF2-40B4-BE49-F238E27FC236}">
              <a16:creationId xmlns:a16="http://schemas.microsoft.com/office/drawing/2014/main" id="{00000000-0008-0000-0000-000003000000}"/>
            </a:ext>
          </a:extLst>
        </xdr:cNvPr>
        <xdr:cNvSpPr/>
      </xdr:nvSpPr>
      <xdr:spPr>
        <a:xfrm>
          <a:off x="9818347775" y="711994"/>
          <a:ext cx="707349" cy="2571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1" anchor="ctr"/>
        <a:lstStyle/>
        <a:p>
          <a:pPr algn="ctr" rtl="1"/>
          <a:r>
            <a:rPr lang="ar-EG" sz="1400" b="1">
              <a:effectLst>
                <a:outerShdw blurRad="50800" dist="38100" dir="5400000" algn="t" rotWithShape="0">
                  <a:prstClr val="black">
                    <a:alpha val="40000"/>
                  </a:prstClr>
                </a:outerShdw>
              </a:effectLst>
            </a:rPr>
            <a:t>لا</a:t>
          </a:r>
        </a:p>
      </xdr:txBody>
    </xdr:sp>
    <xdr:clientData/>
  </xdr:twoCellAnchor>
  <mc:AlternateContent xmlns:mc="http://schemas.openxmlformats.org/markup-compatibility/2006">
    <mc:Choice xmlns:a14="http://schemas.microsoft.com/office/drawing/2010/main" Requires="a14">
      <xdr:twoCellAnchor editAs="oneCell">
        <xdr:from>
          <xdr:col>13</xdr:col>
          <xdr:colOff>266700</xdr:colOff>
          <xdr:row>5</xdr:row>
          <xdr:rowOff>0</xdr:rowOff>
        </xdr:from>
        <xdr:to>
          <xdr:col>14</xdr:col>
          <xdr:colOff>361950</xdr:colOff>
          <xdr:row>6</xdr:row>
          <xdr:rowOff>19050</xdr:rowOff>
        </xdr:to>
        <xdr:sp macro="" textlink="">
          <xdr:nvSpPr>
            <xdr:cNvPr id="1025" name="Ma2foul"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1">
                <a:defRPr sz="1000"/>
              </a:pPr>
              <a:r>
                <a:rPr lang="ar-EG" sz="800" b="0" i="0" u="none" strike="noStrike" baseline="0">
                  <a:solidFill>
                    <a:srgbClr val="000000"/>
                  </a:solidFill>
                  <a:latin typeface="Segoe UI"/>
                  <a:cs typeface="Segoe UI"/>
                </a:rPr>
                <a:t>مقفول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xdr:row>
          <xdr:rowOff>0</xdr:rowOff>
        </xdr:from>
        <xdr:to>
          <xdr:col>13</xdr:col>
          <xdr:colOff>323850</xdr:colOff>
          <xdr:row>6</xdr:row>
          <xdr:rowOff>19050</xdr:rowOff>
        </xdr:to>
        <xdr:sp macro="" textlink="">
          <xdr:nvSpPr>
            <xdr:cNvPr id="1026" name="Mafrou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1">
                <a:defRPr sz="1000"/>
              </a:pPr>
              <a:r>
                <a:rPr lang="ar-EG" sz="800" b="0" i="0" u="none" strike="noStrike" baseline="0">
                  <a:solidFill>
                    <a:srgbClr val="000000"/>
                  </a:solidFill>
                  <a:latin typeface="Segoe UI"/>
                  <a:cs typeface="Segoe UI"/>
                </a:rPr>
                <a:t>مفرود</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352425</xdr:colOff>
          <xdr:row>1</xdr:row>
          <xdr:rowOff>19050</xdr:rowOff>
        </xdr:from>
        <xdr:to>
          <xdr:col>17</xdr:col>
          <xdr:colOff>523875</xdr:colOff>
          <xdr:row>1</xdr:row>
          <xdr:rowOff>219075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342900</xdr:colOff>
          <xdr:row>1</xdr:row>
          <xdr:rowOff>19050</xdr:rowOff>
        </xdr:from>
        <xdr:to>
          <xdr:col>19</xdr:col>
          <xdr:colOff>514350</xdr:colOff>
          <xdr:row>1</xdr:row>
          <xdr:rowOff>219075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twoCellAnchor editAs="oneCell">
    <xdr:from>
      <xdr:col>0</xdr:col>
      <xdr:colOff>214312</xdr:colOff>
      <xdr:row>22</xdr:row>
      <xdr:rowOff>185027</xdr:rowOff>
    </xdr:from>
    <xdr:to>
      <xdr:col>7</xdr:col>
      <xdr:colOff>904874</xdr:colOff>
      <xdr:row>27</xdr:row>
      <xdr:rowOff>0</xdr:rowOff>
    </xdr:to>
    <xdr:sp macro="[0]!Hide_Client" textlink="">
      <xdr:nvSpPr>
        <xdr:cNvPr id="9" name="Hide_C">
          <a:extLst>
            <a:ext uri="{FF2B5EF4-FFF2-40B4-BE49-F238E27FC236}">
              <a16:creationId xmlns:a16="http://schemas.microsoft.com/office/drawing/2014/main" id="{00000000-0008-0000-0000-000009000000}"/>
            </a:ext>
          </a:extLst>
        </xdr:cNvPr>
        <xdr:cNvSpPr/>
      </xdr:nvSpPr>
      <xdr:spPr>
        <a:xfrm>
          <a:off x="9876313751" y="3375902"/>
          <a:ext cx="4437062" cy="791286"/>
        </a:xfrm>
        <a:custGeom>
          <a:avLst/>
          <a:gdLst>
            <a:gd name="connsiteX0" fmla="*/ 0 w 4339144"/>
            <a:gd name="connsiteY0" fmla="*/ 0 h 771525"/>
            <a:gd name="connsiteX1" fmla="*/ 4339144 w 4339144"/>
            <a:gd name="connsiteY1" fmla="*/ 0 h 771525"/>
            <a:gd name="connsiteX2" fmla="*/ 4339144 w 4339144"/>
            <a:gd name="connsiteY2" fmla="*/ 771525 h 771525"/>
            <a:gd name="connsiteX3" fmla="*/ 0 w 4339144"/>
            <a:gd name="connsiteY3" fmla="*/ 771525 h 771525"/>
            <a:gd name="connsiteX4" fmla="*/ 0 w 4339144"/>
            <a:gd name="connsiteY4"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657942"/>
            <a:gd name="connsiteY0" fmla="*/ 0 h 771525"/>
            <a:gd name="connsiteX1" fmla="*/ 4339144 w 4657942"/>
            <a:gd name="connsiteY1" fmla="*/ 0 h 771525"/>
            <a:gd name="connsiteX2" fmla="*/ 4330776 w 4657942"/>
            <a:gd name="connsiteY2" fmla="*/ 212117 h 771525"/>
            <a:gd name="connsiteX3" fmla="*/ 4334888 w 4657942"/>
            <a:gd name="connsiteY3" fmla="*/ 386473 h 771525"/>
            <a:gd name="connsiteX4" fmla="*/ 4339144 w 4657942"/>
            <a:gd name="connsiteY4" fmla="*/ 771525 h 771525"/>
            <a:gd name="connsiteX5" fmla="*/ 0 w 4657942"/>
            <a:gd name="connsiteY5" fmla="*/ 771525 h 771525"/>
            <a:gd name="connsiteX6" fmla="*/ 0 w 4657942"/>
            <a:gd name="connsiteY6" fmla="*/ 0 h 771525"/>
            <a:gd name="connsiteX0" fmla="*/ 0 w 4988016"/>
            <a:gd name="connsiteY0" fmla="*/ 0 h 771525"/>
            <a:gd name="connsiteX1" fmla="*/ 4339144 w 4988016"/>
            <a:gd name="connsiteY1" fmla="*/ 0 h 771525"/>
            <a:gd name="connsiteX2" fmla="*/ 4985510 w 4988016"/>
            <a:gd name="connsiteY2" fmla="*/ 341270 h 771525"/>
            <a:gd name="connsiteX3" fmla="*/ 4334888 w 4988016"/>
            <a:gd name="connsiteY3" fmla="*/ 386473 h 771525"/>
            <a:gd name="connsiteX4" fmla="*/ 4339144 w 4988016"/>
            <a:gd name="connsiteY4" fmla="*/ 771525 h 771525"/>
            <a:gd name="connsiteX5" fmla="*/ 0 w 4988016"/>
            <a:gd name="connsiteY5" fmla="*/ 771525 h 771525"/>
            <a:gd name="connsiteX6" fmla="*/ 0 w 4988016"/>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98993"/>
            <a:gd name="connsiteY0" fmla="*/ 0 h 771525"/>
            <a:gd name="connsiteX1" fmla="*/ 4339144 w 5098993"/>
            <a:gd name="connsiteY1" fmla="*/ 0 h 771525"/>
            <a:gd name="connsiteX2" fmla="*/ 4743612 w 5098993"/>
            <a:gd name="connsiteY2" fmla="*/ 60363 h 771525"/>
            <a:gd name="connsiteX3" fmla="*/ 5088720 w 5098993"/>
            <a:gd name="connsiteY3" fmla="*/ 389702 h 771525"/>
            <a:gd name="connsiteX4" fmla="*/ 4334888 w 5098993"/>
            <a:gd name="connsiteY4" fmla="*/ 386473 h 771525"/>
            <a:gd name="connsiteX5" fmla="*/ 4339144 w 5098993"/>
            <a:gd name="connsiteY5" fmla="*/ 771525 h 771525"/>
            <a:gd name="connsiteX6" fmla="*/ 0 w 5098993"/>
            <a:gd name="connsiteY6" fmla="*/ 771525 h 771525"/>
            <a:gd name="connsiteX7" fmla="*/ 0 w 5098993"/>
            <a:gd name="connsiteY7" fmla="*/ 0 h 771525"/>
            <a:gd name="connsiteX0" fmla="*/ 0 w 5164581"/>
            <a:gd name="connsiteY0" fmla="*/ 20188 h 791713"/>
            <a:gd name="connsiteX1" fmla="*/ 4339144 w 5164581"/>
            <a:gd name="connsiteY1" fmla="*/ 20188 h 791713"/>
            <a:gd name="connsiteX2" fmla="*/ 5091944 w 5164581"/>
            <a:gd name="connsiteY2" fmla="*/ 28890 h 791713"/>
            <a:gd name="connsiteX3" fmla="*/ 5088720 w 5164581"/>
            <a:gd name="connsiteY3" fmla="*/ 409890 h 791713"/>
            <a:gd name="connsiteX4" fmla="*/ 4334888 w 5164581"/>
            <a:gd name="connsiteY4" fmla="*/ 406661 h 791713"/>
            <a:gd name="connsiteX5" fmla="*/ 4339144 w 5164581"/>
            <a:gd name="connsiteY5" fmla="*/ 791713 h 791713"/>
            <a:gd name="connsiteX6" fmla="*/ 0 w 5164581"/>
            <a:gd name="connsiteY6" fmla="*/ 791713 h 791713"/>
            <a:gd name="connsiteX7" fmla="*/ 0 w 5164581"/>
            <a:gd name="connsiteY7" fmla="*/ 20188 h 791713"/>
            <a:gd name="connsiteX0" fmla="*/ 0 w 5122851"/>
            <a:gd name="connsiteY0" fmla="*/ 20188 h 791713"/>
            <a:gd name="connsiteX1" fmla="*/ 4339144 w 5122851"/>
            <a:gd name="connsiteY1" fmla="*/ 20188 h 791713"/>
            <a:gd name="connsiteX2" fmla="*/ 5091944 w 5122851"/>
            <a:gd name="connsiteY2" fmla="*/ 28890 h 791713"/>
            <a:gd name="connsiteX3" fmla="*/ 5088720 w 5122851"/>
            <a:gd name="connsiteY3" fmla="*/ 409890 h 791713"/>
            <a:gd name="connsiteX4" fmla="*/ 4334888 w 5122851"/>
            <a:gd name="connsiteY4" fmla="*/ 406661 h 791713"/>
            <a:gd name="connsiteX5" fmla="*/ 4339144 w 5122851"/>
            <a:gd name="connsiteY5" fmla="*/ 791713 h 791713"/>
            <a:gd name="connsiteX6" fmla="*/ 0 w 5122851"/>
            <a:gd name="connsiteY6" fmla="*/ 791713 h 791713"/>
            <a:gd name="connsiteX7" fmla="*/ 0 w 5122851"/>
            <a:gd name="connsiteY7" fmla="*/ 20188 h 791713"/>
            <a:gd name="connsiteX0" fmla="*/ 0 w 5095697"/>
            <a:gd name="connsiteY0" fmla="*/ 20188 h 791713"/>
            <a:gd name="connsiteX1" fmla="*/ 4339144 w 5095697"/>
            <a:gd name="connsiteY1" fmla="*/ 20188 h 791713"/>
            <a:gd name="connsiteX2" fmla="*/ 5091944 w 5095697"/>
            <a:gd name="connsiteY2" fmla="*/ 28890 h 791713"/>
            <a:gd name="connsiteX3" fmla="*/ 5088720 w 5095697"/>
            <a:gd name="connsiteY3" fmla="*/ 409890 h 791713"/>
            <a:gd name="connsiteX4" fmla="*/ 4334888 w 5095697"/>
            <a:gd name="connsiteY4" fmla="*/ 406661 h 791713"/>
            <a:gd name="connsiteX5" fmla="*/ 4339144 w 5095697"/>
            <a:gd name="connsiteY5" fmla="*/ 791713 h 791713"/>
            <a:gd name="connsiteX6" fmla="*/ 0 w 5095697"/>
            <a:gd name="connsiteY6" fmla="*/ 791713 h 791713"/>
            <a:gd name="connsiteX7" fmla="*/ 0 w 5095697"/>
            <a:gd name="connsiteY7" fmla="*/ 20188 h 791713"/>
            <a:gd name="connsiteX0" fmla="*/ 0 w 5092266"/>
            <a:gd name="connsiteY0" fmla="*/ 20188 h 791713"/>
            <a:gd name="connsiteX1" fmla="*/ 4339144 w 5092266"/>
            <a:gd name="connsiteY1" fmla="*/ 20188 h 791713"/>
            <a:gd name="connsiteX2" fmla="*/ 5091944 w 5092266"/>
            <a:gd name="connsiteY2" fmla="*/ 28890 h 791713"/>
            <a:gd name="connsiteX3" fmla="*/ 5088720 w 5092266"/>
            <a:gd name="connsiteY3" fmla="*/ 409890 h 791713"/>
            <a:gd name="connsiteX4" fmla="*/ 4334888 w 5092266"/>
            <a:gd name="connsiteY4" fmla="*/ 406661 h 791713"/>
            <a:gd name="connsiteX5" fmla="*/ 4339144 w 5092266"/>
            <a:gd name="connsiteY5" fmla="*/ 791713 h 791713"/>
            <a:gd name="connsiteX6" fmla="*/ 0 w 5092266"/>
            <a:gd name="connsiteY6" fmla="*/ 791713 h 791713"/>
            <a:gd name="connsiteX7" fmla="*/ 0 w 5092266"/>
            <a:gd name="connsiteY7" fmla="*/ 20188 h 791713"/>
            <a:gd name="connsiteX0" fmla="*/ 0 w 5092266"/>
            <a:gd name="connsiteY0" fmla="*/ 0 h 771525"/>
            <a:gd name="connsiteX1" fmla="*/ 4339144 w 5092266"/>
            <a:gd name="connsiteY1" fmla="*/ 0 h 771525"/>
            <a:gd name="connsiteX2" fmla="*/ 5091944 w 5092266"/>
            <a:gd name="connsiteY2" fmla="*/ 8702 h 771525"/>
            <a:gd name="connsiteX3" fmla="*/ 5088720 w 5092266"/>
            <a:gd name="connsiteY3" fmla="*/ 389702 h 771525"/>
            <a:gd name="connsiteX4" fmla="*/ 4334888 w 5092266"/>
            <a:gd name="connsiteY4" fmla="*/ 386473 h 771525"/>
            <a:gd name="connsiteX5" fmla="*/ 4339144 w 5092266"/>
            <a:gd name="connsiteY5" fmla="*/ 771525 h 771525"/>
            <a:gd name="connsiteX6" fmla="*/ 0 w 5092266"/>
            <a:gd name="connsiteY6" fmla="*/ 771525 h 771525"/>
            <a:gd name="connsiteX7" fmla="*/ 0 w 5092266"/>
            <a:gd name="connsiteY7" fmla="*/ 0 h 771525"/>
            <a:gd name="connsiteX0" fmla="*/ 0 w 5088720"/>
            <a:gd name="connsiteY0" fmla="*/ 0 h 771525"/>
            <a:gd name="connsiteX1" fmla="*/ 4339144 w 5088720"/>
            <a:gd name="connsiteY1" fmla="*/ 0 h 771525"/>
            <a:gd name="connsiteX2" fmla="*/ 5083544 w 5088720"/>
            <a:gd name="connsiteY2" fmla="*/ 5900 h 771525"/>
            <a:gd name="connsiteX3" fmla="*/ 5088720 w 5088720"/>
            <a:gd name="connsiteY3" fmla="*/ 389702 h 771525"/>
            <a:gd name="connsiteX4" fmla="*/ 4334888 w 5088720"/>
            <a:gd name="connsiteY4" fmla="*/ 386473 h 771525"/>
            <a:gd name="connsiteX5" fmla="*/ 4339144 w 5088720"/>
            <a:gd name="connsiteY5" fmla="*/ 771525 h 771525"/>
            <a:gd name="connsiteX6" fmla="*/ 0 w 5088720"/>
            <a:gd name="connsiteY6" fmla="*/ 771525 h 771525"/>
            <a:gd name="connsiteX7" fmla="*/ 0 w 5088720"/>
            <a:gd name="connsiteY7" fmla="*/ 0 h 771525"/>
            <a:gd name="connsiteX0" fmla="*/ 0 w 5091521"/>
            <a:gd name="connsiteY0" fmla="*/ 0 h 771525"/>
            <a:gd name="connsiteX1" fmla="*/ 4339144 w 5091521"/>
            <a:gd name="connsiteY1" fmla="*/ 0 h 771525"/>
            <a:gd name="connsiteX2" fmla="*/ 5083544 w 5091521"/>
            <a:gd name="connsiteY2" fmla="*/ 5900 h 771525"/>
            <a:gd name="connsiteX3" fmla="*/ 5091521 w 5091521"/>
            <a:gd name="connsiteY3" fmla="*/ 389702 h 771525"/>
            <a:gd name="connsiteX4" fmla="*/ 4334888 w 5091521"/>
            <a:gd name="connsiteY4" fmla="*/ 386473 h 771525"/>
            <a:gd name="connsiteX5" fmla="*/ 4339144 w 5091521"/>
            <a:gd name="connsiteY5" fmla="*/ 771525 h 771525"/>
            <a:gd name="connsiteX6" fmla="*/ 0 w 5091521"/>
            <a:gd name="connsiteY6" fmla="*/ 771525 h 771525"/>
            <a:gd name="connsiteX7" fmla="*/ 0 w 5091521"/>
            <a:gd name="connsiteY7" fmla="*/ 0 h 771525"/>
            <a:gd name="connsiteX0" fmla="*/ 0 w 5083809"/>
            <a:gd name="connsiteY0" fmla="*/ 0 h 771525"/>
            <a:gd name="connsiteX1" fmla="*/ 4339144 w 5083809"/>
            <a:gd name="connsiteY1" fmla="*/ 0 h 771525"/>
            <a:gd name="connsiteX2" fmla="*/ 5083544 w 5083809"/>
            <a:gd name="connsiteY2" fmla="*/ 5900 h 771525"/>
            <a:gd name="connsiteX3" fmla="*/ 5077521 w 5083809"/>
            <a:gd name="connsiteY3" fmla="*/ 386900 h 771525"/>
            <a:gd name="connsiteX4" fmla="*/ 4334888 w 5083809"/>
            <a:gd name="connsiteY4" fmla="*/ 386473 h 771525"/>
            <a:gd name="connsiteX5" fmla="*/ 4339144 w 5083809"/>
            <a:gd name="connsiteY5" fmla="*/ 771525 h 771525"/>
            <a:gd name="connsiteX6" fmla="*/ 0 w 5083809"/>
            <a:gd name="connsiteY6" fmla="*/ 771525 h 771525"/>
            <a:gd name="connsiteX7" fmla="*/ 0 w 5083809"/>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 name="connsiteX0" fmla="*/ 0 w 5088124"/>
            <a:gd name="connsiteY0" fmla="*/ 0 h 771525"/>
            <a:gd name="connsiteX1" fmla="*/ 4339144 w 5088124"/>
            <a:gd name="connsiteY1" fmla="*/ 0 h 771525"/>
            <a:gd name="connsiteX2" fmla="*/ 5083544 w 5088124"/>
            <a:gd name="connsiteY2" fmla="*/ 5900 h 771525"/>
            <a:gd name="connsiteX3" fmla="*/ 5085921 w 5088124"/>
            <a:gd name="connsiteY3" fmla="*/ 386900 h 771525"/>
            <a:gd name="connsiteX4" fmla="*/ 4334888 w 5088124"/>
            <a:gd name="connsiteY4" fmla="*/ 386473 h 771525"/>
            <a:gd name="connsiteX5" fmla="*/ 4339144 w 5088124"/>
            <a:gd name="connsiteY5" fmla="*/ 771525 h 771525"/>
            <a:gd name="connsiteX6" fmla="*/ 0 w 5088124"/>
            <a:gd name="connsiteY6" fmla="*/ 771525 h 771525"/>
            <a:gd name="connsiteX7" fmla="*/ 0 w 5088124"/>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085921" h="771525">
              <a:moveTo>
                <a:pt x="0" y="0"/>
              </a:moveTo>
              <a:lnTo>
                <a:pt x="4339144" y="0"/>
              </a:lnTo>
              <a:lnTo>
                <a:pt x="5083544" y="5900"/>
              </a:lnTo>
              <a:cubicBezTo>
                <a:pt x="5085913" y="177402"/>
                <a:pt x="5082662" y="187679"/>
                <a:pt x="5085921" y="386900"/>
              </a:cubicBezTo>
              <a:cubicBezTo>
                <a:pt x="4927172" y="389964"/>
                <a:pt x="4536687" y="390103"/>
                <a:pt x="4334888" y="386473"/>
              </a:cubicBezTo>
              <a:cubicBezTo>
                <a:pt x="4336307" y="514824"/>
                <a:pt x="4337725" y="643174"/>
                <a:pt x="4339144" y="771525"/>
              </a:cubicBezTo>
              <a:lnTo>
                <a:pt x="0" y="771525"/>
              </a:lnTo>
              <a:lnTo>
                <a:pt x="0" y="0"/>
              </a:lnTo>
              <a:close/>
            </a:path>
          </a:pathLst>
        </a:custGeom>
        <a:solidFill>
          <a:schemeClr val="accent5">
            <a:lumMod val="60000"/>
            <a:lumOff val="4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nchorCtr="0"/>
        <a:lstStyle/>
        <a:p>
          <a:pPr algn="r" rtl="1"/>
          <a:r>
            <a:rPr lang="ar-EG" sz="1100"/>
            <a:t> </a:t>
          </a:r>
        </a:p>
      </xdr:txBody>
    </xdr:sp>
    <xdr:clientData/>
  </xdr:twoCellAnchor>
  <xdr:twoCellAnchor editAs="oneCell">
    <xdr:from>
      <xdr:col>16</xdr:col>
      <xdr:colOff>182562</xdr:colOff>
      <xdr:row>8</xdr:row>
      <xdr:rowOff>2744</xdr:rowOff>
    </xdr:from>
    <xdr:to>
      <xdr:col>19</xdr:col>
      <xdr:colOff>579437</xdr:colOff>
      <xdr:row>10</xdr:row>
      <xdr:rowOff>309561</xdr:rowOff>
    </xdr:to>
    <xdr:sp macro="[0]!Hide_prints" textlink="">
      <xdr:nvSpPr>
        <xdr:cNvPr id="10" name="Hide_print">
          <a:extLst>
            <a:ext uri="{FF2B5EF4-FFF2-40B4-BE49-F238E27FC236}">
              <a16:creationId xmlns:a16="http://schemas.microsoft.com/office/drawing/2014/main" id="{00000000-0008-0000-0000-00000A000000}"/>
            </a:ext>
          </a:extLst>
        </xdr:cNvPr>
        <xdr:cNvSpPr/>
      </xdr:nvSpPr>
      <xdr:spPr>
        <a:xfrm>
          <a:off x="9870265375" y="1550557"/>
          <a:ext cx="1706563" cy="687817"/>
        </a:xfrm>
        <a:custGeom>
          <a:avLst/>
          <a:gdLst>
            <a:gd name="connsiteX0" fmla="*/ 0 w 4339144"/>
            <a:gd name="connsiteY0" fmla="*/ 0 h 771525"/>
            <a:gd name="connsiteX1" fmla="*/ 4339144 w 4339144"/>
            <a:gd name="connsiteY1" fmla="*/ 0 h 771525"/>
            <a:gd name="connsiteX2" fmla="*/ 4339144 w 4339144"/>
            <a:gd name="connsiteY2" fmla="*/ 771525 h 771525"/>
            <a:gd name="connsiteX3" fmla="*/ 0 w 4339144"/>
            <a:gd name="connsiteY3" fmla="*/ 771525 h 771525"/>
            <a:gd name="connsiteX4" fmla="*/ 0 w 4339144"/>
            <a:gd name="connsiteY4"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657942"/>
            <a:gd name="connsiteY0" fmla="*/ 0 h 771525"/>
            <a:gd name="connsiteX1" fmla="*/ 4339144 w 4657942"/>
            <a:gd name="connsiteY1" fmla="*/ 0 h 771525"/>
            <a:gd name="connsiteX2" fmla="*/ 4330776 w 4657942"/>
            <a:gd name="connsiteY2" fmla="*/ 212117 h 771525"/>
            <a:gd name="connsiteX3" fmla="*/ 4334888 w 4657942"/>
            <a:gd name="connsiteY3" fmla="*/ 386473 h 771525"/>
            <a:gd name="connsiteX4" fmla="*/ 4339144 w 4657942"/>
            <a:gd name="connsiteY4" fmla="*/ 771525 h 771525"/>
            <a:gd name="connsiteX5" fmla="*/ 0 w 4657942"/>
            <a:gd name="connsiteY5" fmla="*/ 771525 h 771525"/>
            <a:gd name="connsiteX6" fmla="*/ 0 w 4657942"/>
            <a:gd name="connsiteY6" fmla="*/ 0 h 771525"/>
            <a:gd name="connsiteX0" fmla="*/ 0 w 4988016"/>
            <a:gd name="connsiteY0" fmla="*/ 0 h 771525"/>
            <a:gd name="connsiteX1" fmla="*/ 4339144 w 4988016"/>
            <a:gd name="connsiteY1" fmla="*/ 0 h 771525"/>
            <a:gd name="connsiteX2" fmla="*/ 4985510 w 4988016"/>
            <a:gd name="connsiteY2" fmla="*/ 341270 h 771525"/>
            <a:gd name="connsiteX3" fmla="*/ 4334888 w 4988016"/>
            <a:gd name="connsiteY3" fmla="*/ 386473 h 771525"/>
            <a:gd name="connsiteX4" fmla="*/ 4339144 w 4988016"/>
            <a:gd name="connsiteY4" fmla="*/ 771525 h 771525"/>
            <a:gd name="connsiteX5" fmla="*/ 0 w 4988016"/>
            <a:gd name="connsiteY5" fmla="*/ 771525 h 771525"/>
            <a:gd name="connsiteX6" fmla="*/ 0 w 4988016"/>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98993"/>
            <a:gd name="connsiteY0" fmla="*/ 0 h 771525"/>
            <a:gd name="connsiteX1" fmla="*/ 4339144 w 5098993"/>
            <a:gd name="connsiteY1" fmla="*/ 0 h 771525"/>
            <a:gd name="connsiteX2" fmla="*/ 4743612 w 5098993"/>
            <a:gd name="connsiteY2" fmla="*/ 60363 h 771525"/>
            <a:gd name="connsiteX3" fmla="*/ 5088720 w 5098993"/>
            <a:gd name="connsiteY3" fmla="*/ 389702 h 771525"/>
            <a:gd name="connsiteX4" fmla="*/ 4334888 w 5098993"/>
            <a:gd name="connsiteY4" fmla="*/ 386473 h 771525"/>
            <a:gd name="connsiteX5" fmla="*/ 4339144 w 5098993"/>
            <a:gd name="connsiteY5" fmla="*/ 771525 h 771525"/>
            <a:gd name="connsiteX6" fmla="*/ 0 w 5098993"/>
            <a:gd name="connsiteY6" fmla="*/ 771525 h 771525"/>
            <a:gd name="connsiteX7" fmla="*/ 0 w 5098993"/>
            <a:gd name="connsiteY7" fmla="*/ 0 h 771525"/>
            <a:gd name="connsiteX0" fmla="*/ 0 w 5164581"/>
            <a:gd name="connsiteY0" fmla="*/ 20188 h 791713"/>
            <a:gd name="connsiteX1" fmla="*/ 4339144 w 5164581"/>
            <a:gd name="connsiteY1" fmla="*/ 20188 h 791713"/>
            <a:gd name="connsiteX2" fmla="*/ 5091944 w 5164581"/>
            <a:gd name="connsiteY2" fmla="*/ 28890 h 791713"/>
            <a:gd name="connsiteX3" fmla="*/ 5088720 w 5164581"/>
            <a:gd name="connsiteY3" fmla="*/ 409890 h 791713"/>
            <a:gd name="connsiteX4" fmla="*/ 4334888 w 5164581"/>
            <a:gd name="connsiteY4" fmla="*/ 406661 h 791713"/>
            <a:gd name="connsiteX5" fmla="*/ 4339144 w 5164581"/>
            <a:gd name="connsiteY5" fmla="*/ 791713 h 791713"/>
            <a:gd name="connsiteX6" fmla="*/ 0 w 5164581"/>
            <a:gd name="connsiteY6" fmla="*/ 791713 h 791713"/>
            <a:gd name="connsiteX7" fmla="*/ 0 w 5164581"/>
            <a:gd name="connsiteY7" fmla="*/ 20188 h 791713"/>
            <a:gd name="connsiteX0" fmla="*/ 0 w 5122851"/>
            <a:gd name="connsiteY0" fmla="*/ 20188 h 791713"/>
            <a:gd name="connsiteX1" fmla="*/ 4339144 w 5122851"/>
            <a:gd name="connsiteY1" fmla="*/ 20188 h 791713"/>
            <a:gd name="connsiteX2" fmla="*/ 5091944 w 5122851"/>
            <a:gd name="connsiteY2" fmla="*/ 28890 h 791713"/>
            <a:gd name="connsiteX3" fmla="*/ 5088720 w 5122851"/>
            <a:gd name="connsiteY3" fmla="*/ 409890 h 791713"/>
            <a:gd name="connsiteX4" fmla="*/ 4334888 w 5122851"/>
            <a:gd name="connsiteY4" fmla="*/ 406661 h 791713"/>
            <a:gd name="connsiteX5" fmla="*/ 4339144 w 5122851"/>
            <a:gd name="connsiteY5" fmla="*/ 791713 h 791713"/>
            <a:gd name="connsiteX6" fmla="*/ 0 w 5122851"/>
            <a:gd name="connsiteY6" fmla="*/ 791713 h 791713"/>
            <a:gd name="connsiteX7" fmla="*/ 0 w 5122851"/>
            <a:gd name="connsiteY7" fmla="*/ 20188 h 791713"/>
            <a:gd name="connsiteX0" fmla="*/ 0 w 5095697"/>
            <a:gd name="connsiteY0" fmla="*/ 20188 h 791713"/>
            <a:gd name="connsiteX1" fmla="*/ 4339144 w 5095697"/>
            <a:gd name="connsiteY1" fmla="*/ 20188 h 791713"/>
            <a:gd name="connsiteX2" fmla="*/ 5091944 w 5095697"/>
            <a:gd name="connsiteY2" fmla="*/ 28890 h 791713"/>
            <a:gd name="connsiteX3" fmla="*/ 5088720 w 5095697"/>
            <a:gd name="connsiteY3" fmla="*/ 409890 h 791713"/>
            <a:gd name="connsiteX4" fmla="*/ 4334888 w 5095697"/>
            <a:gd name="connsiteY4" fmla="*/ 406661 h 791713"/>
            <a:gd name="connsiteX5" fmla="*/ 4339144 w 5095697"/>
            <a:gd name="connsiteY5" fmla="*/ 791713 h 791713"/>
            <a:gd name="connsiteX6" fmla="*/ 0 w 5095697"/>
            <a:gd name="connsiteY6" fmla="*/ 791713 h 791713"/>
            <a:gd name="connsiteX7" fmla="*/ 0 w 5095697"/>
            <a:gd name="connsiteY7" fmla="*/ 20188 h 791713"/>
            <a:gd name="connsiteX0" fmla="*/ 0 w 5092266"/>
            <a:gd name="connsiteY0" fmla="*/ 20188 h 791713"/>
            <a:gd name="connsiteX1" fmla="*/ 4339144 w 5092266"/>
            <a:gd name="connsiteY1" fmla="*/ 20188 h 791713"/>
            <a:gd name="connsiteX2" fmla="*/ 5091944 w 5092266"/>
            <a:gd name="connsiteY2" fmla="*/ 28890 h 791713"/>
            <a:gd name="connsiteX3" fmla="*/ 5088720 w 5092266"/>
            <a:gd name="connsiteY3" fmla="*/ 409890 h 791713"/>
            <a:gd name="connsiteX4" fmla="*/ 4334888 w 5092266"/>
            <a:gd name="connsiteY4" fmla="*/ 406661 h 791713"/>
            <a:gd name="connsiteX5" fmla="*/ 4339144 w 5092266"/>
            <a:gd name="connsiteY5" fmla="*/ 791713 h 791713"/>
            <a:gd name="connsiteX6" fmla="*/ 0 w 5092266"/>
            <a:gd name="connsiteY6" fmla="*/ 791713 h 791713"/>
            <a:gd name="connsiteX7" fmla="*/ 0 w 5092266"/>
            <a:gd name="connsiteY7" fmla="*/ 20188 h 791713"/>
            <a:gd name="connsiteX0" fmla="*/ 0 w 5092266"/>
            <a:gd name="connsiteY0" fmla="*/ 0 h 771525"/>
            <a:gd name="connsiteX1" fmla="*/ 4339144 w 5092266"/>
            <a:gd name="connsiteY1" fmla="*/ 0 h 771525"/>
            <a:gd name="connsiteX2" fmla="*/ 5091944 w 5092266"/>
            <a:gd name="connsiteY2" fmla="*/ 8702 h 771525"/>
            <a:gd name="connsiteX3" fmla="*/ 5088720 w 5092266"/>
            <a:gd name="connsiteY3" fmla="*/ 389702 h 771525"/>
            <a:gd name="connsiteX4" fmla="*/ 4334888 w 5092266"/>
            <a:gd name="connsiteY4" fmla="*/ 386473 h 771525"/>
            <a:gd name="connsiteX5" fmla="*/ 4339144 w 5092266"/>
            <a:gd name="connsiteY5" fmla="*/ 771525 h 771525"/>
            <a:gd name="connsiteX6" fmla="*/ 0 w 5092266"/>
            <a:gd name="connsiteY6" fmla="*/ 771525 h 771525"/>
            <a:gd name="connsiteX7" fmla="*/ 0 w 5092266"/>
            <a:gd name="connsiteY7" fmla="*/ 0 h 771525"/>
            <a:gd name="connsiteX0" fmla="*/ 0 w 5088720"/>
            <a:gd name="connsiteY0" fmla="*/ 0 h 771525"/>
            <a:gd name="connsiteX1" fmla="*/ 4339144 w 5088720"/>
            <a:gd name="connsiteY1" fmla="*/ 0 h 771525"/>
            <a:gd name="connsiteX2" fmla="*/ 5083544 w 5088720"/>
            <a:gd name="connsiteY2" fmla="*/ 5900 h 771525"/>
            <a:gd name="connsiteX3" fmla="*/ 5088720 w 5088720"/>
            <a:gd name="connsiteY3" fmla="*/ 389702 h 771525"/>
            <a:gd name="connsiteX4" fmla="*/ 4334888 w 5088720"/>
            <a:gd name="connsiteY4" fmla="*/ 386473 h 771525"/>
            <a:gd name="connsiteX5" fmla="*/ 4339144 w 5088720"/>
            <a:gd name="connsiteY5" fmla="*/ 771525 h 771525"/>
            <a:gd name="connsiteX6" fmla="*/ 0 w 5088720"/>
            <a:gd name="connsiteY6" fmla="*/ 771525 h 771525"/>
            <a:gd name="connsiteX7" fmla="*/ 0 w 5088720"/>
            <a:gd name="connsiteY7" fmla="*/ 0 h 771525"/>
            <a:gd name="connsiteX0" fmla="*/ 0 w 5091521"/>
            <a:gd name="connsiteY0" fmla="*/ 0 h 771525"/>
            <a:gd name="connsiteX1" fmla="*/ 4339144 w 5091521"/>
            <a:gd name="connsiteY1" fmla="*/ 0 h 771525"/>
            <a:gd name="connsiteX2" fmla="*/ 5083544 w 5091521"/>
            <a:gd name="connsiteY2" fmla="*/ 5900 h 771525"/>
            <a:gd name="connsiteX3" fmla="*/ 5091521 w 5091521"/>
            <a:gd name="connsiteY3" fmla="*/ 389702 h 771525"/>
            <a:gd name="connsiteX4" fmla="*/ 4334888 w 5091521"/>
            <a:gd name="connsiteY4" fmla="*/ 386473 h 771525"/>
            <a:gd name="connsiteX5" fmla="*/ 4339144 w 5091521"/>
            <a:gd name="connsiteY5" fmla="*/ 771525 h 771525"/>
            <a:gd name="connsiteX6" fmla="*/ 0 w 5091521"/>
            <a:gd name="connsiteY6" fmla="*/ 771525 h 771525"/>
            <a:gd name="connsiteX7" fmla="*/ 0 w 5091521"/>
            <a:gd name="connsiteY7" fmla="*/ 0 h 771525"/>
            <a:gd name="connsiteX0" fmla="*/ 0 w 5083809"/>
            <a:gd name="connsiteY0" fmla="*/ 0 h 771525"/>
            <a:gd name="connsiteX1" fmla="*/ 4339144 w 5083809"/>
            <a:gd name="connsiteY1" fmla="*/ 0 h 771525"/>
            <a:gd name="connsiteX2" fmla="*/ 5083544 w 5083809"/>
            <a:gd name="connsiteY2" fmla="*/ 5900 h 771525"/>
            <a:gd name="connsiteX3" fmla="*/ 5077521 w 5083809"/>
            <a:gd name="connsiteY3" fmla="*/ 386900 h 771525"/>
            <a:gd name="connsiteX4" fmla="*/ 4334888 w 5083809"/>
            <a:gd name="connsiteY4" fmla="*/ 386473 h 771525"/>
            <a:gd name="connsiteX5" fmla="*/ 4339144 w 5083809"/>
            <a:gd name="connsiteY5" fmla="*/ 771525 h 771525"/>
            <a:gd name="connsiteX6" fmla="*/ 0 w 5083809"/>
            <a:gd name="connsiteY6" fmla="*/ 771525 h 771525"/>
            <a:gd name="connsiteX7" fmla="*/ 0 w 5083809"/>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 name="connsiteX0" fmla="*/ 0 w 5088124"/>
            <a:gd name="connsiteY0" fmla="*/ 0 h 771525"/>
            <a:gd name="connsiteX1" fmla="*/ 4339144 w 5088124"/>
            <a:gd name="connsiteY1" fmla="*/ 0 h 771525"/>
            <a:gd name="connsiteX2" fmla="*/ 5083544 w 5088124"/>
            <a:gd name="connsiteY2" fmla="*/ 5900 h 771525"/>
            <a:gd name="connsiteX3" fmla="*/ 5085921 w 5088124"/>
            <a:gd name="connsiteY3" fmla="*/ 386900 h 771525"/>
            <a:gd name="connsiteX4" fmla="*/ 4334888 w 5088124"/>
            <a:gd name="connsiteY4" fmla="*/ 386473 h 771525"/>
            <a:gd name="connsiteX5" fmla="*/ 4339144 w 5088124"/>
            <a:gd name="connsiteY5" fmla="*/ 771525 h 771525"/>
            <a:gd name="connsiteX6" fmla="*/ 0 w 5088124"/>
            <a:gd name="connsiteY6" fmla="*/ 771525 h 771525"/>
            <a:gd name="connsiteX7" fmla="*/ 0 w 5088124"/>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 name="connsiteX0" fmla="*/ 0 w 5083553"/>
            <a:gd name="connsiteY0" fmla="*/ 0 h 771525"/>
            <a:gd name="connsiteX1" fmla="*/ 4339144 w 5083553"/>
            <a:gd name="connsiteY1" fmla="*/ 0 h 771525"/>
            <a:gd name="connsiteX2" fmla="*/ 5083544 w 5083553"/>
            <a:gd name="connsiteY2" fmla="*/ 5900 h 771525"/>
            <a:gd name="connsiteX3" fmla="*/ 4663592 w 5083553"/>
            <a:gd name="connsiteY3" fmla="*/ 221574 h 771525"/>
            <a:gd name="connsiteX4" fmla="*/ 4334888 w 5083553"/>
            <a:gd name="connsiteY4" fmla="*/ 386473 h 771525"/>
            <a:gd name="connsiteX5" fmla="*/ 4339144 w 5083553"/>
            <a:gd name="connsiteY5" fmla="*/ 771525 h 771525"/>
            <a:gd name="connsiteX6" fmla="*/ 0 w 5083553"/>
            <a:gd name="connsiteY6" fmla="*/ 771525 h 771525"/>
            <a:gd name="connsiteX7" fmla="*/ 0 w 5083553"/>
            <a:gd name="connsiteY7" fmla="*/ 0 h 771525"/>
            <a:gd name="connsiteX0" fmla="*/ 0 w 5089408"/>
            <a:gd name="connsiteY0" fmla="*/ 0 h 771525"/>
            <a:gd name="connsiteX1" fmla="*/ 4339144 w 5089408"/>
            <a:gd name="connsiteY1" fmla="*/ 0 h 771525"/>
            <a:gd name="connsiteX2" fmla="*/ 5083544 w 5089408"/>
            <a:gd name="connsiteY2" fmla="*/ 5900 h 771525"/>
            <a:gd name="connsiteX3" fmla="*/ 4663592 w 5089408"/>
            <a:gd name="connsiteY3" fmla="*/ 221574 h 771525"/>
            <a:gd name="connsiteX4" fmla="*/ 4334888 w 5089408"/>
            <a:gd name="connsiteY4" fmla="*/ 386473 h 771525"/>
            <a:gd name="connsiteX5" fmla="*/ 4339144 w 5089408"/>
            <a:gd name="connsiteY5" fmla="*/ 771525 h 771525"/>
            <a:gd name="connsiteX6" fmla="*/ 0 w 5089408"/>
            <a:gd name="connsiteY6" fmla="*/ 771525 h 771525"/>
            <a:gd name="connsiteX7" fmla="*/ 0 w 5089408"/>
            <a:gd name="connsiteY7" fmla="*/ 0 h 771525"/>
            <a:gd name="connsiteX0" fmla="*/ 0 w 5090685"/>
            <a:gd name="connsiteY0" fmla="*/ 0 h 771525"/>
            <a:gd name="connsiteX1" fmla="*/ 4339144 w 5090685"/>
            <a:gd name="connsiteY1" fmla="*/ 0 h 771525"/>
            <a:gd name="connsiteX2" fmla="*/ 5083544 w 5090685"/>
            <a:gd name="connsiteY2" fmla="*/ 5900 h 771525"/>
            <a:gd name="connsiteX3" fmla="*/ 4663592 w 5090685"/>
            <a:gd name="connsiteY3" fmla="*/ 221574 h 771525"/>
            <a:gd name="connsiteX4" fmla="*/ 4334888 w 5090685"/>
            <a:gd name="connsiteY4" fmla="*/ 386473 h 771525"/>
            <a:gd name="connsiteX5" fmla="*/ 4339144 w 5090685"/>
            <a:gd name="connsiteY5" fmla="*/ 771525 h 771525"/>
            <a:gd name="connsiteX6" fmla="*/ 0 w 5090685"/>
            <a:gd name="connsiteY6" fmla="*/ 771525 h 771525"/>
            <a:gd name="connsiteX7" fmla="*/ 0 w 5090685"/>
            <a:gd name="connsiteY7" fmla="*/ 0 h 771525"/>
            <a:gd name="connsiteX0" fmla="*/ 0 w 4663592"/>
            <a:gd name="connsiteY0" fmla="*/ 0 h 771525"/>
            <a:gd name="connsiteX1" fmla="*/ 4339144 w 4663592"/>
            <a:gd name="connsiteY1" fmla="*/ 0 h 771525"/>
            <a:gd name="connsiteX2" fmla="*/ 4663592 w 4663592"/>
            <a:gd name="connsiteY2" fmla="*/ 221574 h 771525"/>
            <a:gd name="connsiteX3" fmla="*/ 4334888 w 4663592"/>
            <a:gd name="connsiteY3" fmla="*/ 386473 h 771525"/>
            <a:gd name="connsiteX4" fmla="*/ 4339144 w 4663592"/>
            <a:gd name="connsiteY4" fmla="*/ 771525 h 771525"/>
            <a:gd name="connsiteX5" fmla="*/ 0 w 4663592"/>
            <a:gd name="connsiteY5" fmla="*/ 771525 h 771525"/>
            <a:gd name="connsiteX6" fmla="*/ 0 w 4663592"/>
            <a:gd name="connsiteY6" fmla="*/ 0 h 771525"/>
            <a:gd name="connsiteX0" fmla="*/ 4334888 w 4866310"/>
            <a:gd name="connsiteY0" fmla="*/ 386473 h 771525"/>
            <a:gd name="connsiteX1" fmla="*/ 4339144 w 4866310"/>
            <a:gd name="connsiteY1" fmla="*/ 771525 h 771525"/>
            <a:gd name="connsiteX2" fmla="*/ 0 w 4866310"/>
            <a:gd name="connsiteY2" fmla="*/ 771525 h 771525"/>
            <a:gd name="connsiteX3" fmla="*/ 0 w 4866310"/>
            <a:gd name="connsiteY3" fmla="*/ 0 h 771525"/>
            <a:gd name="connsiteX4" fmla="*/ 4339144 w 4866310"/>
            <a:gd name="connsiteY4" fmla="*/ 0 h 771525"/>
            <a:gd name="connsiteX5" fmla="*/ 4866310 w 4866310"/>
            <a:gd name="connsiteY5" fmla="*/ 325179 h 771525"/>
            <a:gd name="connsiteX0" fmla="*/ 4334888 w 4339143"/>
            <a:gd name="connsiteY0" fmla="*/ 386473 h 771525"/>
            <a:gd name="connsiteX1" fmla="*/ 4339144 w 4339143"/>
            <a:gd name="connsiteY1" fmla="*/ 771525 h 771525"/>
            <a:gd name="connsiteX2" fmla="*/ 0 w 4339143"/>
            <a:gd name="connsiteY2" fmla="*/ 771525 h 771525"/>
            <a:gd name="connsiteX3" fmla="*/ 0 w 4339143"/>
            <a:gd name="connsiteY3" fmla="*/ 0 h 771525"/>
            <a:gd name="connsiteX4" fmla="*/ 4339144 w 4339143"/>
            <a:gd name="connsiteY4" fmla="*/ 0 h 771525"/>
            <a:gd name="connsiteX0" fmla="*/ 4343874 w 4344051"/>
            <a:gd name="connsiteY0" fmla="*/ 0 h 775407"/>
            <a:gd name="connsiteX1" fmla="*/ 4339144 w 4344051"/>
            <a:gd name="connsiteY1" fmla="*/ 775407 h 775407"/>
            <a:gd name="connsiteX2" fmla="*/ 0 w 4344051"/>
            <a:gd name="connsiteY2" fmla="*/ 775407 h 775407"/>
            <a:gd name="connsiteX3" fmla="*/ 0 w 4344051"/>
            <a:gd name="connsiteY3" fmla="*/ 3882 h 775407"/>
            <a:gd name="connsiteX4" fmla="*/ 4339144 w 4344051"/>
            <a:gd name="connsiteY4" fmla="*/ 3882 h 7754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344051" h="775407">
              <a:moveTo>
                <a:pt x="4343874" y="0"/>
              </a:moveTo>
              <a:cubicBezTo>
                <a:pt x="4345293" y="128351"/>
                <a:pt x="4337725" y="647056"/>
                <a:pt x="4339144" y="775407"/>
              </a:cubicBezTo>
              <a:lnTo>
                <a:pt x="0" y="775407"/>
              </a:lnTo>
              <a:lnTo>
                <a:pt x="0" y="3882"/>
              </a:lnTo>
              <a:lnTo>
                <a:pt x="4339144" y="3882"/>
              </a:lnTo>
            </a:path>
          </a:pathLst>
        </a:custGeom>
        <a:solidFill>
          <a:schemeClr val="accent5">
            <a:lumMod val="60000"/>
            <a:lumOff val="4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nchorCtr="0"/>
        <a:lstStyle/>
        <a:p>
          <a:pPr algn="r" rtl="1"/>
          <a:r>
            <a:rPr lang="ar-EG" sz="1100"/>
            <a:t> </a:t>
          </a:r>
        </a:p>
      </xdr:txBody>
    </xdr:sp>
    <xdr:clientData/>
  </xdr:twoCellAnchor>
  <xdr:twoCellAnchor editAs="oneCell">
    <xdr:from>
      <xdr:col>16</xdr:col>
      <xdr:colOff>217022</xdr:colOff>
      <xdr:row>13</xdr:row>
      <xdr:rowOff>107674</xdr:rowOff>
    </xdr:from>
    <xdr:to>
      <xdr:col>19</xdr:col>
      <xdr:colOff>563195</xdr:colOff>
      <xdr:row>20</xdr:row>
      <xdr:rowOff>131319</xdr:rowOff>
    </xdr:to>
    <xdr:sp macro="[0]!Hide_inners" textlink="">
      <xdr:nvSpPr>
        <xdr:cNvPr id="11" name="Hide_Inner" hidden="1">
          <a:extLst>
            <a:ext uri="{FF2B5EF4-FFF2-40B4-BE49-F238E27FC236}">
              <a16:creationId xmlns:a16="http://schemas.microsoft.com/office/drawing/2014/main" id="{00000000-0008-0000-0000-00000B000000}"/>
            </a:ext>
          </a:extLst>
        </xdr:cNvPr>
        <xdr:cNvSpPr/>
      </xdr:nvSpPr>
      <xdr:spPr>
        <a:xfrm>
          <a:off x="9818825980" y="2727049"/>
          <a:ext cx="1708248" cy="694674"/>
        </a:xfrm>
        <a:custGeom>
          <a:avLst/>
          <a:gdLst>
            <a:gd name="connsiteX0" fmla="*/ 0 w 4339144"/>
            <a:gd name="connsiteY0" fmla="*/ 0 h 771525"/>
            <a:gd name="connsiteX1" fmla="*/ 4339144 w 4339144"/>
            <a:gd name="connsiteY1" fmla="*/ 0 h 771525"/>
            <a:gd name="connsiteX2" fmla="*/ 4339144 w 4339144"/>
            <a:gd name="connsiteY2" fmla="*/ 771525 h 771525"/>
            <a:gd name="connsiteX3" fmla="*/ 0 w 4339144"/>
            <a:gd name="connsiteY3" fmla="*/ 771525 h 771525"/>
            <a:gd name="connsiteX4" fmla="*/ 0 w 4339144"/>
            <a:gd name="connsiteY4"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339144"/>
            <a:gd name="connsiteY0" fmla="*/ 0 h 771525"/>
            <a:gd name="connsiteX1" fmla="*/ 4339144 w 4339144"/>
            <a:gd name="connsiteY1" fmla="*/ 0 h 771525"/>
            <a:gd name="connsiteX2" fmla="*/ 4334888 w 4339144"/>
            <a:gd name="connsiteY2" fmla="*/ 386473 h 771525"/>
            <a:gd name="connsiteX3" fmla="*/ 4339144 w 4339144"/>
            <a:gd name="connsiteY3" fmla="*/ 771525 h 771525"/>
            <a:gd name="connsiteX4" fmla="*/ 0 w 4339144"/>
            <a:gd name="connsiteY4" fmla="*/ 771525 h 771525"/>
            <a:gd name="connsiteX5" fmla="*/ 0 w 4339144"/>
            <a:gd name="connsiteY5" fmla="*/ 0 h 771525"/>
            <a:gd name="connsiteX0" fmla="*/ 0 w 4657942"/>
            <a:gd name="connsiteY0" fmla="*/ 0 h 771525"/>
            <a:gd name="connsiteX1" fmla="*/ 4339144 w 4657942"/>
            <a:gd name="connsiteY1" fmla="*/ 0 h 771525"/>
            <a:gd name="connsiteX2" fmla="*/ 4330776 w 4657942"/>
            <a:gd name="connsiteY2" fmla="*/ 212117 h 771525"/>
            <a:gd name="connsiteX3" fmla="*/ 4334888 w 4657942"/>
            <a:gd name="connsiteY3" fmla="*/ 386473 h 771525"/>
            <a:gd name="connsiteX4" fmla="*/ 4339144 w 4657942"/>
            <a:gd name="connsiteY4" fmla="*/ 771525 h 771525"/>
            <a:gd name="connsiteX5" fmla="*/ 0 w 4657942"/>
            <a:gd name="connsiteY5" fmla="*/ 771525 h 771525"/>
            <a:gd name="connsiteX6" fmla="*/ 0 w 4657942"/>
            <a:gd name="connsiteY6" fmla="*/ 0 h 771525"/>
            <a:gd name="connsiteX0" fmla="*/ 0 w 4988016"/>
            <a:gd name="connsiteY0" fmla="*/ 0 h 771525"/>
            <a:gd name="connsiteX1" fmla="*/ 4339144 w 4988016"/>
            <a:gd name="connsiteY1" fmla="*/ 0 h 771525"/>
            <a:gd name="connsiteX2" fmla="*/ 4985510 w 4988016"/>
            <a:gd name="connsiteY2" fmla="*/ 341270 h 771525"/>
            <a:gd name="connsiteX3" fmla="*/ 4334888 w 4988016"/>
            <a:gd name="connsiteY3" fmla="*/ 386473 h 771525"/>
            <a:gd name="connsiteX4" fmla="*/ 4339144 w 4988016"/>
            <a:gd name="connsiteY4" fmla="*/ 771525 h 771525"/>
            <a:gd name="connsiteX5" fmla="*/ 0 w 4988016"/>
            <a:gd name="connsiteY5" fmla="*/ 771525 h 771525"/>
            <a:gd name="connsiteX6" fmla="*/ 0 w 4988016"/>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88731"/>
            <a:gd name="connsiteY0" fmla="*/ 0 h 771525"/>
            <a:gd name="connsiteX1" fmla="*/ 4339144 w 5088731"/>
            <a:gd name="connsiteY1" fmla="*/ 0 h 771525"/>
            <a:gd name="connsiteX2" fmla="*/ 5088720 w 5088731"/>
            <a:gd name="connsiteY2" fmla="*/ 389702 h 771525"/>
            <a:gd name="connsiteX3" fmla="*/ 4334888 w 5088731"/>
            <a:gd name="connsiteY3" fmla="*/ 386473 h 771525"/>
            <a:gd name="connsiteX4" fmla="*/ 4339144 w 5088731"/>
            <a:gd name="connsiteY4" fmla="*/ 771525 h 771525"/>
            <a:gd name="connsiteX5" fmla="*/ 0 w 5088731"/>
            <a:gd name="connsiteY5" fmla="*/ 771525 h 771525"/>
            <a:gd name="connsiteX6" fmla="*/ 0 w 5088731"/>
            <a:gd name="connsiteY6" fmla="*/ 0 h 771525"/>
            <a:gd name="connsiteX0" fmla="*/ 0 w 5098993"/>
            <a:gd name="connsiteY0" fmla="*/ 0 h 771525"/>
            <a:gd name="connsiteX1" fmla="*/ 4339144 w 5098993"/>
            <a:gd name="connsiteY1" fmla="*/ 0 h 771525"/>
            <a:gd name="connsiteX2" fmla="*/ 4743612 w 5098993"/>
            <a:gd name="connsiteY2" fmla="*/ 60363 h 771525"/>
            <a:gd name="connsiteX3" fmla="*/ 5088720 w 5098993"/>
            <a:gd name="connsiteY3" fmla="*/ 389702 h 771525"/>
            <a:gd name="connsiteX4" fmla="*/ 4334888 w 5098993"/>
            <a:gd name="connsiteY4" fmla="*/ 386473 h 771525"/>
            <a:gd name="connsiteX5" fmla="*/ 4339144 w 5098993"/>
            <a:gd name="connsiteY5" fmla="*/ 771525 h 771525"/>
            <a:gd name="connsiteX6" fmla="*/ 0 w 5098993"/>
            <a:gd name="connsiteY6" fmla="*/ 771525 h 771525"/>
            <a:gd name="connsiteX7" fmla="*/ 0 w 5098993"/>
            <a:gd name="connsiteY7" fmla="*/ 0 h 771525"/>
            <a:gd name="connsiteX0" fmla="*/ 0 w 5164581"/>
            <a:gd name="connsiteY0" fmla="*/ 20188 h 791713"/>
            <a:gd name="connsiteX1" fmla="*/ 4339144 w 5164581"/>
            <a:gd name="connsiteY1" fmla="*/ 20188 h 791713"/>
            <a:gd name="connsiteX2" fmla="*/ 5091944 w 5164581"/>
            <a:gd name="connsiteY2" fmla="*/ 28890 h 791713"/>
            <a:gd name="connsiteX3" fmla="*/ 5088720 w 5164581"/>
            <a:gd name="connsiteY3" fmla="*/ 409890 h 791713"/>
            <a:gd name="connsiteX4" fmla="*/ 4334888 w 5164581"/>
            <a:gd name="connsiteY4" fmla="*/ 406661 h 791713"/>
            <a:gd name="connsiteX5" fmla="*/ 4339144 w 5164581"/>
            <a:gd name="connsiteY5" fmla="*/ 791713 h 791713"/>
            <a:gd name="connsiteX6" fmla="*/ 0 w 5164581"/>
            <a:gd name="connsiteY6" fmla="*/ 791713 h 791713"/>
            <a:gd name="connsiteX7" fmla="*/ 0 w 5164581"/>
            <a:gd name="connsiteY7" fmla="*/ 20188 h 791713"/>
            <a:gd name="connsiteX0" fmla="*/ 0 w 5122851"/>
            <a:gd name="connsiteY0" fmla="*/ 20188 h 791713"/>
            <a:gd name="connsiteX1" fmla="*/ 4339144 w 5122851"/>
            <a:gd name="connsiteY1" fmla="*/ 20188 h 791713"/>
            <a:gd name="connsiteX2" fmla="*/ 5091944 w 5122851"/>
            <a:gd name="connsiteY2" fmla="*/ 28890 h 791713"/>
            <a:gd name="connsiteX3" fmla="*/ 5088720 w 5122851"/>
            <a:gd name="connsiteY3" fmla="*/ 409890 h 791713"/>
            <a:gd name="connsiteX4" fmla="*/ 4334888 w 5122851"/>
            <a:gd name="connsiteY4" fmla="*/ 406661 h 791713"/>
            <a:gd name="connsiteX5" fmla="*/ 4339144 w 5122851"/>
            <a:gd name="connsiteY5" fmla="*/ 791713 h 791713"/>
            <a:gd name="connsiteX6" fmla="*/ 0 w 5122851"/>
            <a:gd name="connsiteY6" fmla="*/ 791713 h 791713"/>
            <a:gd name="connsiteX7" fmla="*/ 0 w 5122851"/>
            <a:gd name="connsiteY7" fmla="*/ 20188 h 791713"/>
            <a:gd name="connsiteX0" fmla="*/ 0 w 5095697"/>
            <a:gd name="connsiteY0" fmla="*/ 20188 h 791713"/>
            <a:gd name="connsiteX1" fmla="*/ 4339144 w 5095697"/>
            <a:gd name="connsiteY1" fmla="*/ 20188 h 791713"/>
            <a:gd name="connsiteX2" fmla="*/ 5091944 w 5095697"/>
            <a:gd name="connsiteY2" fmla="*/ 28890 h 791713"/>
            <a:gd name="connsiteX3" fmla="*/ 5088720 w 5095697"/>
            <a:gd name="connsiteY3" fmla="*/ 409890 h 791713"/>
            <a:gd name="connsiteX4" fmla="*/ 4334888 w 5095697"/>
            <a:gd name="connsiteY4" fmla="*/ 406661 h 791713"/>
            <a:gd name="connsiteX5" fmla="*/ 4339144 w 5095697"/>
            <a:gd name="connsiteY5" fmla="*/ 791713 h 791713"/>
            <a:gd name="connsiteX6" fmla="*/ 0 w 5095697"/>
            <a:gd name="connsiteY6" fmla="*/ 791713 h 791713"/>
            <a:gd name="connsiteX7" fmla="*/ 0 w 5095697"/>
            <a:gd name="connsiteY7" fmla="*/ 20188 h 791713"/>
            <a:gd name="connsiteX0" fmla="*/ 0 w 5092266"/>
            <a:gd name="connsiteY0" fmla="*/ 20188 h 791713"/>
            <a:gd name="connsiteX1" fmla="*/ 4339144 w 5092266"/>
            <a:gd name="connsiteY1" fmla="*/ 20188 h 791713"/>
            <a:gd name="connsiteX2" fmla="*/ 5091944 w 5092266"/>
            <a:gd name="connsiteY2" fmla="*/ 28890 h 791713"/>
            <a:gd name="connsiteX3" fmla="*/ 5088720 w 5092266"/>
            <a:gd name="connsiteY3" fmla="*/ 409890 h 791713"/>
            <a:gd name="connsiteX4" fmla="*/ 4334888 w 5092266"/>
            <a:gd name="connsiteY4" fmla="*/ 406661 h 791713"/>
            <a:gd name="connsiteX5" fmla="*/ 4339144 w 5092266"/>
            <a:gd name="connsiteY5" fmla="*/ 791713 h 791713"/>
            <a:gd name="connsiteX6" fmla="*/ 0 w 5092266"/>
            <a:gd name="connsiteY6" fmla="*/ 791713 h 791713"/>
            <a:gd name="connsiteX7" fmla="*/ 0 w 5092266"/>
            <a:gd name="connsiteY7" fmla="*/ 20188 h 791713"/>
            <a:gd name="connsiteX0" fmla="*/ 0 w 5092266"/>
            <a:gd name="connsiteY0" fmla="*/ 0 h 771525"/>
            <a:gd name="connsiteX1" fmla="*/ 4339144 w 5092266"/>
            <a:gd name="connsiteY1" fmla="*/ 0 h 771525"/>
            <a:gd name="connsiteX2" fmla="*/ 5091944 w 5092266"/>
            <a:gd name="connsiteY2" fmla="*/ 8702 h 771525"/>
            <a:gd name="connsiteX3" fmla="*/ 5088720 w 5092266"/>
            <a:gd name="connsiteY3" fmla="*/ 389702 h 771525"/>
            <a:gd name="connsiteX4" fmla="*/ 4334888 w 5092266"/>
            <a:gd name="connsiteY4" fmla="*/ 386473 h 771525"/>
            <a:gd name="connsiteX5" fmla="*/ 4339144 w 5092266"/>
            <a:gd name="connsiteY5" fmla="*/ 771525 h 771525"/>
            <a:gd name="connsiteX6" fmla="*/ 0 w 5092266"/>
            <a:gd name="connsiteY6" fmla="*/ 771525 h 771525"/>
            <a:gd name="connsiteX7" fmla="*/ 0 w 5092266"/>
            <a:gd name="connsiteY7" fmla="*/ 0 h 771525"/>
            <a:gd name="connsiteX0" fmla="*/ 0 w 5088720"/>
            <a:gd name="connsiteY0" fmla="*/ 0 h 771525"/>
            <a:gd name="connsiteX1" fmla="*/ 4339144 w 5088720"/>
            <a:gd name="connsiteY1" fmla="*/ 0 h 771525"/>
            <a:gd name="connsiteX2" fmla="*/ 5083544 w 5088720"/>
            <a:gd name="connsiteY2" fmla="*/ 5900 h 771525"/>
            <a:gd name="connsiteX3" fmla="*/ 5088720 w 5088720"/>
            <a:gd name="connsiteY3" fmla="*/ 389702 h 771525"/>
            <a:gd name="connsiteX4" fmla="*/ 4334888 w 5088720"/>
            <a:gd name="connsiteY4" fmla="*/ 386473 h 771525"/>
            <a:gd name="connsiteX5" fmla="*/ 4339144 w 5088720"/>
            <a:gd name="connsiteY5" fmla="*/ 771525 h 771525"/>
            <a:gd name="connsiteX6" fmla="*/ 0 w 5088720"/>
            <a:gd name="connsiteY6" fmla="*/ 771525 h 771525"/>
            <a:gd name="connsiteX7" fmla="*/ 0 w 5088720"/>
            <a:gd name="connsiteY7" fmla="*/ 0 h 771525"/>
            <a:gd name="connsiteX0" fmla="*/ 0 w 5091521"/>
            <a:gd name="connsiteY0" fmla="*/ 0 h 771525"/>
            <a:gd name="connsiteX1" fmla="*/ 4339144 w 5091521"/>
            <a:gd name="connsiteY1" fmla="*/ 0 h 771525"/>
            <a:gd name="connsiteX2" fmla="*/ 5083544 w 5091521"/>
            <a:gd name="connsiteY2" fmla="*/ 5900 h 771525"/>
            <a:gd name="connsiteX3" fmla="*/ 5091521 w 5091521"/>
            <a:gd name="connsiteY3" fmla="*/ 389702 h 771525"/>
            <a:gd name="connsiteX4" fmla="*/ 4334888 w 5091521"/>
            <a:gd name="connsiteY4" fmla="*/ 386473 h 771525"/>
            <a:gd name="connsiteX5" fmla="*/ 4339144 w 5091521"/>
            <a:gd name="connsiteY5" fmla="*/ 771525 h 771525"/>
            <a:gd name="connsiteX6" fmla="*/ 0 w 5091521"/>
            <a:gd name="connsiteY6" fmla="*/ 771525 h 771525"/>
            <a:gd name="connsiteX7" fmla="*/ 0 w 5091521"/>
            <a:gd name="connsiteY7" fmla="*/ 0 h 771525"/>
            <a:gd name="connsiteX0" fmla="*/ 0 w 5083809"/>
            <a:gd name="connsiteY0" fmla="*/ 0 h 771525"/>
            <a:gd name="connsiteX1" fmla="*/ 4339144 w 5083809"/>
            <a:gd name="connsiteY1" fmla="*/ 0 h 771525"/>
            <a:gd name="connsiteX2" fmla="*/ 5083544 w 5083809"/>
            <a:gd name="connsiteY2" fmla="*/ 5900 h 771525"/>
            <a:gd name="connsiteX3" fmla="*/ 5077521 w 5083809"/>
            <a:gd name="connsiteY3" fmla="*/ 386900 h 771525"/>
            <a:gd name="connsiteX4" fmla="*/ 4334888 w 5083809"/>
            <a:gd name="connsiteY4" fmla="*/ 386473 h 771525"/>
            <a:gd name="connsiteX5" fmla="*/ 4339144 w 5083809"/>
            <a:gd name="connsiteY5" fmla="*/ 771525 h 771525"/>
            <a:gd name="connsiteX6" fmla="*/ 0 w 5083809"/>
            <a:gd name="connsiteY6" fmla="*/ 771525 h 771525"/>
            <a:gd name="connsiteX7" fmla="*/ 0 w 5083809"/>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 name="connsiteX0" fmla="*/ 0 w 5088124"/>
            <a:gd name="connsiteY0" fmla="*/ 0 h 771525"/>
            <a:gd name="connsiteX1" fmla="*/ 4339144 w 5088124"/>
            <a:gd name="connsiteY1" fmla="*/ 0 h 771525"/>
            <a:gd name="connsiteX2" fmla="*/ 5083544 w 5088124"/>
            <a:gd name="connsiteY2" fmla="*/ 5900 h 771525"/>
            <a:gd name="connsiteX3" fmla="*/ 5085921 w 5088124"/>
            <a:gd name="connsiteY3" fmla="*/ 386900 h 771525"/>
            <a:gd name="connsiteX4" fmla="*/ 4334888 w 5088124"/>
            <a:gd name="connsiteY4" fmla="*/ 386473 h 771525"/>
            <a:gd name="connsiteX5" fmla="*/ 4339144 w 5088124"/>
            <a:gd name="connsiteY5" fmla="*/ 771525 h 771525"/>
            <a:gd name="connsiteX6" fmla="*/ 0 w 5088124"/>
            <a:gd name="connsiteY6" fmla="*/ 771525 h 771525"/>
            <a:gd name="connsiteX7" fmla="*/ 0 w 5088124"/>
            <a:gd name="connsiteY7" fmla="*/ 0 h 771525"/>
            <a:gd name="connsiteX0" fmla="*/ 0 w 5085921"/>
            <a:gd name="connsiteY0" fmla="*/ 0 h 771525"/>
            <a:gd name="connsiteX1" fmla="*/ 4339144 w 5085921"/>
            <a:gd name="connsiteY1" fmla="*/ 0 h 771525"/>
            <a:gd name="connsiteX2" fmla="*/ 5083544 w 5085921"/>
            <a:gd name="connsiteY2" fmla="*/ 5900 h 771525"/>
            <a:gd name="connsiteX3" fmla="*/ 5085921 w 5085921"/>
            <a:gd name="connsiteY3" fmla="*/ 386900 h 771525"/>
            <a:gd name="connsiteX4" fmla="*/ 4334888 w 5085921"/>
            <a:gd name="connsiteY4" fmla="*/ 386473 h 771525"/>
            <a:gd name="connsiteX5" fmla="*/ 4339144 w 5085921"/>
            <a:gd name="connsiteY5" fmla="*/ 771525 h 771525"/>
            <a:gd name="connsiteX6" fmla="*/ 0 w 5085921"/>
            <a:gd name="connsiteY6" fmla="*/ 771525 h 771525"/>
            <a:gd name="connsiteX7" fmla="*/ 0 w 5085921"/>
            <a:gd name="connsiteY7" fmla="*/ 0 h 771525"/>
            <a:gd name="connsiteX0" fmla="*/ 0 w 5083553"/>
            <a:gd name="connsiteY0" fmla="*/ 0 h 771525"/>
            <a:gd name="connsiteX1" fmla="*/ 4339144 w 5083553"/>
            <a:gd name="connsiteY1" fmla="*/ 0 h 771525"/>
            <a:gd name="connsiteX2" fmla="*/ 5083544 w 5083553"/>
            <a:gd name="connsiteY2" fmla="*/ 5900 h 771525"/>
            <a:gd name="connsiteX3" fmla="*/ 4663592 w 5083553"/>
            <a:gd name="connsiteY3" fmla="*/ 221574 h 771525"/>
            <a:gd name="connsiteX4" fmla="*/ 4334888 w 5083553"/>
            <a:gd name="connsiteY4" fmla="*/ 386473 h 771525"/>
            <a:gd name="connsiteX5" fmla="*/ 4339144 w 5083553"/>
            <a:gd name="connsiteY5" fmla="*/ 771525 h 771525"/>
            <a:gd name="connsiteX6" fmla="*/ 0 w 5083553"/>
            <a:gd name="connsiteY6" fmla="*/ 771525 h 771525"/>
            <a:gd name="connsiteX7" fmla="*/ 0 w 5083553"/>
            <a:gd name="connsiteY7" fmla="*/ 0 h 771525"/>
            <a:gd name="connsiteX0" fmla="*/ 0 w 5089408"/>
            <a:gd name="connsiteY0" fmla="*/ 0 h 771525"/>
            <a:gd name="connsiteX1" fmla="*/ 4339144 w 5089408"/>
            <a:gd name="connsiteY1" fmla="*/ 0 h 771525"/>
            <a:gd name="connsiteX2" fmla="*/ 5083544 w 5089408"/>
            <a:gd name="connsiteY2" fmla="*/ 5900 h 771525"/>
            <a:gd name="connsiteX3" fmla="*/ 4663592 w 5089408"/>
            <a:gd name="connsiteY3" fmla="*/ 221574 h 771525"/>
            <a:gd name="connsiteX4" fmla="*/ 4334888 w 5089408"/>
            <a:gd name="connsiteY4" fmla="*/ 386473 h 771525"/>
            <a:gd name="connsiteX5" fmla="*/ 4339144 w 5089408"/>
            <a:gd name="connsiteY5" fmla="*/ 771525 h 771525"/>
            <a:gd name="connsiteX6" fmla="*/ 0 w 5089408"/>
            <a:gd name="connsiteY6" fmla="*/ 771525 h 771525"/>
            <a:gd name="connsiteX7" fmla="*/ 0 w 5089408"/>
            <a:gd name="connsiteY7" fmla="*/ 0 h 771525"/>
            <a:gd name="connsiteX0" fmla="*/ 0 w 5090685"/>
            <a:gd name="connsiteY0" fmla="*/ 0 h 771525"/>
            <a:gd name="connsiteX1" fmla="*/ 4339144 w 5090685"/>
            <a:gd name="connsiteY1" fmla="*/ 0 h 771525"/>
            <a:gd name="connsiteX2" fmla="*/ 5083544 w 5090685"/>
            <a:gd name="connsiteY2" fmla="*/ 5900 h 771525"/>
            <a:gd name="connsiteX3" fmla="*/ 4663592 w 5090685"/>
            <a:gd name="connsiteY3" fmla="*/ 221574 h 771525"/>
            <a:gd name="connsiteX4" fmla="*/ 4334888 w 5090685"/>
            <a:gd name="connsiteY4" fmla="*/ 386473 h 771525"/>
            <a:gd name="connsiteX5" fmla="*/ 4339144 w 5090685"/>
            <a:gd name="connsiteY5" fmla="*/ 771525 h 771525"/>
            <a:gd name="connsiteX6" fmla="*/ 0 w 5090685"/>
            <a:gd name="connsiteY6" fmla="*/ 771525 h 771525"/>
            <a:gd name="connsiteX7" fmla="*/ 0 w 5090685"/>
            <a:gd name="connsiteY7" fmla="*/ 0 h 771525"/>
            <a:gd name="connsiteX0" fmla="*/ 0 w 4663592"/>
            <a:gd name="connsiteY0" fmla="*/ 0 h 771525"/>
            <a:gd name="connsiteX1" fmla="*/ 4339144 w 4663592"/>
            <a:gd name="connsiteY1" fmla="*/ 0 h 771525"/>
            <a:gd name="connsiteX2" fmla="*/ 4663592 w 4663592"/>
            <a:gd name="connsiteY2" fmla="*/ 221574 h 771525"/>
            <a:gd name="connsiteX3" fmla="*/ 4334888 w 4663592"/>
            <a:gd name="connsiteY3" fmla="*/ 386473 h 771525"/>
            <a:gd name="connsiteX4" fmla="*/ 4339144 w 4663592"/>
            <a:gd name="connsiteY4" fmla="*/ 771525 h 771525"/>
            <a:gd name="connsiteX5" fmla="*/ 0 w 4663592"/>
            <a:gd name="connsiteY5" fmla="*/ 771525 h 771525"/>
            <a:gd name="connsiteX6" fmla="*/ 0 w 4663592"/>
            <a:gd name="connsiteY6" fmla="*/ 0 h 771525"/>
            <a:gd name="connsiteX0" fmla="*/ 4334888 w 4866310"/>
            <a:gd name="connsiteY0" fmla="*/ 386473 h 771525"/>
            <a:gd name="connsiteX1" fmla="*/ 4339144 w 4866310"/>
            <a:gd name="connsiteY1" fmla="*/ 771525 h 771525"/>
            <a:gd name="connsiteX2" fmla="*/ 0 w 4866310"/>
            <a:gd name="connsiteY2" fmla="*/ 771525 h 771525"/>
            <a:gd name="connsiteX3" fmla="*/ 0 w 4866310"/>
            <a:gd name="connsiteY3" fmla="*/ 0 h 771525"/>
            <a:gd name="connsiteX4" fmla="*/ 4339144 w 4866310"/>
            <a:gd name="connsiteY4" fmla="*/ 0 h 771525"/>
            <a:gd name="connsiteX5" fmla="*/ 4866310 w 4866310"/>
            <a:gd name="connsiteY5" fmla="*/ 325179 h 771525"/>
            <a:gd name="connsiteX0" fmla="*/ 4334888 w 4339143"/>
            <a:gd name="connsiteY0" fmla="*/ 386473 h 771525"/>
            <a:gd name="connsiteX1" fmla="*/ 4339144 w 4339143"/>
            <a:gd name="connsiteY1" fmla="*/ 771525 h 771525"/>
            <a:gd name="connsiteX2" fmla="*/ 0 w 4339143"/>
            <a:gd name="connsiteY2" fmla="*/ 771525 h 771525"/>
            <a:gd name="connsiteX3" fmla="*/ 0 w 4339143"/>
            <a:gd name="connsiteY3" fmla="*/ 0 h 771525"/>
            <a:gd name="connsiteX4" fmla="*/ 4339144 w 4339143"/>
            <a:gd name="connsiteY4" fmla="*/ 0 h 771525"/>
            <a:gd name="connsiteX0" fmla="*/ 4343874 w 4344051"/>
            <a:gd name="connsiteY0" fmla="*/ 0 h 775407"/>
            <a:gd name="connsiteX1" fmla="*/ 4339144 w 4344051"/>
            <a:gd name="connsiteY1" fmla="*/ 775407 h 775407"/>
            <a:gd name="connsiteX2" fmla="*/ 0 w 4344051"/>
            <a:gd name="connsiteY2" fmla="*/ 775407 h 775407"/>
            <a:gd name="connsiteX3" fmla="*/ 0 w 4344051"/>
            <a:gd name="connsiteY3" fmla="*/ 3882 h 775407"/>
            <a:gd name="connsiteX4" fmla="*/ 4339144 w 4344051"/>
            <a:gd name="connsiteY4" fmla="*/ 3882 h 7754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344051" h="775407">
              <a:moveTo>
                <a:pt x="4343874" y="0"/>
              </a:moveTo>
              <a:cubicBezTo>
                <a:pt x="4345293" y="128351"/>
                <a:pt x="4337725" y="647056"/>
                <a:pt x="4339144" y="775407"/>
              </a:cubicBezTo>
              <a:lnTo>
                <a:pt x="0" y="775407"/>
              </a:lnTo>
              <a:lnTo>
                <a:pt x="0" y="3882"/>
              </a:lnTo>
              <a:lnTo>
                <a:pt x="4339144" y="3882"/>
              </a:lnTo>
            </a:path>
          </a:pathLst>
        </a:custGeom>
        <a:solidFill>
          <a:schemeClr val="accent5">
            <a:lumMod val="60000"/>
            <a:lumOff val="4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nchorCtr="0"/>
        <a:lstStyle/>
        <a:p>
          <a:pPr algn="r" rtl="1"/>
          <a:r>
            <a:rPr lang="ar-EG" sz="1100"/>
            <a:t> </a:t>
          </a:r>
        </a:p>
      </xdr:txBody>
    </xdr:sp>
    <xdr:clientData/>
  </xdr:twoCellAnchor>
  <xdr:twoCellAnchor editAs="absolute">
    <xdr:from>
      <xdr:col>21</xdr:col>
      <xdr:colOff>31751</xdr:colOff>
      <xdr:row>8</xdr:row>
      <xdr:rowOff>81990</xdr:rowOff>
    </xdr:from>
    <xdr:to>
      <xdr:col>23</xdr:col>
      <xdr:colOff>489701</xdr:colOff>
      <xdr:row>10</xdr:row>
      <xdr:rowOff>136165</xdr:rowOff>
    </xdr:to>
    <xdr:sp macro="[0]!Open_Papers" textlink="">
      <xdr:nvSpPr>
        <xdr:cNvPr id="12" name="Rectangle 6">
          <a:extLst>
            <a:ext uri="{FF2B5EF4-FFF2-40B4-BE49-F238E27FC236}">
              <a16:creationId xmlns:a16="http://schemas.microsoft.com/office/drawing/2014/main" id="{00000000-0008-0000-0000-00000C000000}"/>
            </a:ext>
          </a:extLst>
        </xdr:cNvPr>
        <xdr:cNvSpPr>
          <a:spLocks noChangeAspect="1"/>
        </xdr:cNvSpPr>
      </xdr:nvSpPr>
      <xdr:spPr>
        <a:xfrm>
          <a:off x="9816499174" y="1625040"/>
          <a:ext cx="1467600" cy="435175"/>
        </a:xfrm>
        <a:prstGeom prst="rect">
          <a:avLst/>
        </a:prstGeom>
        <a:ln>
          <a:noFill/>
        </a:ln>
        <a:effectLst>
          <a:outerShdw blurRad="57150" dist="19050" dir="5400000" algn="ctr" rotWithShape="0">
            <a:srgbClr val="000000">
              <a:alpha val="63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مخازن الورق</a:t>
          </a:r>
        </a:p>
      </xdr:txBody>
    </xdr:sp>
    <xdr:clientData/>
  </xdr:twoCellAnchor>
  <xdr:twoCellAnchor editAs="absolute">
    <xdr:from>
      <xdr:col>21</xdr:col>
      <xdr:colOff>31751</xdr:colOff>
      <xdr:row>10</xdr:row>
      <xdr:rowOff>231564</xdr:rowOff>
    </xdr:from>
    <xdr:to>
      <xdr:col>23</xdr:col>
      <xdr:colOff>489701</xdr:colOff>
      <xdr:row>18</xdr:row>
      <xdr:rowOff>165739</xdr:rowOff>
    </xdr:to>
    <xdr:sp macro="" textlink="">
      <xdr:nvSpPr>
        <xdr:cNvPr id="13" name="Rectangle 7">
          <a:hlinkClick xmlns:r="http://schemas.openxmlformats.org/officeDocument/2006/relationships" r:id="rId1"/>
          <a:extLst>
            <a:ext uri="{FF2B5EF4-FFF2-40B4-BE49-F238E27FC236}">
              <a16:creationId xmlns:a16="http://schemas.microsoft.com/office/drawing/2014/main" id="{00000000-0008-0000-0000-00000D000000}"/>
            </a:ext>
          </a:extLst>
        </xdr:cNvPr>
        <xdr:cNvSpPr>
          <a:spLocks noChangeAspect="1"/>
        </xdr:cNvSpPr>
      </xdr:nvSpPr>
      <xdr:spPr>
        <a:xfrm>
          <a:off x="9816499174" y="2155614"/>
          <a:ext cx="1467600" cy="448525"/>
        </a:xfrm>
        <a:prstGeom prst="rect">
          <a:avLst/>
        </a:prstGeom>
        <a:ln>
          <a:noFill/>
        </a:ln>
        <a:effectLst>
          <a:outerShdw blurRad="57150" dist="19050" dir="5400000" algn="ctr" rotWithShape="0">
            <a:srgbClr val="000000">
              <a:alpha val="63000"/>
            </a:srgb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بيانات عامة</a:t>
          </a:r>
        </a:p>
      </xdr:txBody>
    </xdr:sp>
    <xdr:clientData/>
  </xdr:twoCellAnchor>
  <xdr:twoCellAnchor editAs="absolute">
    <xdr:from>
      <xdr:col>20</xdr:col>
      <xdr:colOff>311151</xdr:colOff>
      <xdr:row>0</xdr:row>
      <xdr:rowOff>71438</xdr:rowOff>
    </xdr:from>
    <xdr:to>
      <xdr:col>24</xdr:col>
      <xdr:colOff>2951</xdr:colOff>
      <xdr:row>3</xdr:row>
      <xdr:rowOff>93942</xdr:rowOff>
    </xdr:to>
    <xdr:sp macro="[0]!Tafsel_Print" textlink="">
      <xdr:nvSpPr>
        <xdr:cNvPr id="17" name="Left Arrow 4">
          <a:extLst>
            <a:ext uri="{FF2B5EF4-FFF2-40B4-BE49-F238E27FC236}">
              <a16:creationId xmlns:a16="http://schemas.microsoft.com/office/drawing/2014/main" id="{00000000-0008-0000-0000-000011000000}"/>
            </a:ext>
          </a:extLst>
        </xdr:cNvPr>
        <xdr:cNvSpPr/>
      </xdr:nvSpPr>
      <xdr:spPr>
        <a:xfrm>
          <a:off x="9868881299" y="71438"/>
          <a:ext cx="1580925" cy="516700"/>
        </a:xfrm>
        <a:prstGeom prst="leftArrow">
          <a:avLst>
            <a:gd name="adj1" fmla="val 69313"/>
            <a:gd name="adj2" fmla="val 77038"/>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600" b="1"/>
            <a:t>تفاصيل الطباعة</a:t>
          </a:r>
        </a:p>
      </xdr:txBody>
    </xdr:sp>
    <xdr:clientData/>
  </xdr:twoCellAnchor>
  <xdr:twoCellAnchor editAs="absolute">
    <xdr:from>
      <xdr:col>20</xdr:col>
      <xdr:colOff>301625</xdr:colOff>
      <xdr:row>3</xdr:row>
      <xdr:rowOff>142394</xdr:rowOff>
    </xdr:from>
    <xdr:to>
      <xdr:col>23</xdr:col>
      <xdr:colOff>549050</xdr:colOff>
      <xdr:row>5</xdr:row>
      <xdr:rowOff>147091</xdr:rowOff>
    </xdr:to>
    <xdr:sp macro="[0]!Tafsel_Print_Inner" textlink="">
      <xdr:nvSpPr>
        <xdr:cNvPr id="18" name="Left Arrow 13" hidden="1">
          <a:extLst>
            <a:ext uri="{FF2B5EF4-FFF2-40B4-BE49-F238E27FC236}">
              <a16:creationId xmlns:a16="http://schemas.microsoft.com/office/drawing/2014/main" id="{00000000-0008-0000-0000-000012000000}"/>
            </a:ext>
          </a:extLst>
        </xdr:cNvPr>
        <xdr:cNvSpPr/>
      </xdr:nvSpPr>
      <xdr:spPr>
        <a:xfrm>
          <a:off x="9868890825" y="636590"/>
          <a:ext cx="1580925" cy="507175"/>
        </a:xfrm>
        <a:prstGeom prst="leftArrow">
          <a:avLst>
            <a:gd name="adj1" fmla="val 73175"/>
            <a:gd name="adj2" fmla="val 75106"/>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600" b="1">
              <a:solidFill>
                <a:schemeClr val="lt1"/>
              </a:solidFill>
              <a:effectLst/>
              <a:latin typeface="+mn-lt"/>
              <a:ea typeface="+mn-ea"/>
              <a:cs typeface="+mn-cs"/>
            </a:rPr>
            <a:t>تفاصيل الداخلي</a:t>
          </a:r>
          <a:endParaRPr lang="ar-EG" sz="1600">
            <a:effectLst/>
          </a:endParaRPr>
        </a:p>
      </xdr:txBody>
    </xdr:sp>
    <xdr:clientData/>
  </xdr:twoCellAnchor>
  <xdr:twoCellAnchor editAs="absolute">
    <xdr:from>
      <xdr:col>21</xdr:col>
      <xdr:colOff>0</xdr:colOff>
      <xdr:row>28</xdr:row>
      <xdr:rowOff>77237</xdr:rowOff>
    </xdr:from>
    <xdr:to>
      <xdr:col>23</xdr:col>
      <xdr:colOff>508000</xdr:colOff>
      <xdr:row>30</xdr:row>
      <xdr:rowOff>1934</xdr:rowOff>
    </xdr:to>
    <xdr:sp macro="[0]!Clear_All_Data_Main" textlink="">
      <xdr:nvSpPr>
        <xdr:cNvPr id="19" name="Rectangle 18">
          <a:extLst>
            <a:ext uri="{FF2B5EF4-FFF2-40B4-BE49-F238E27FC236}">
              <a16:creationId xmlns:a16="http://schemas.microsoft.com/office/drawing/2014/main" id="{00000000-0008-0000-0000-000013000000}"/>
            </a:ext>
          </a:extLst>
        </xdr:cNvPr>
        <xdr:cNvSpPr>
          <a:spLocks noChangeAspect="1"/>
        </xdr:cNvSpPr>
      </xdr:nvSpPr>
      <xdr:spPr>
        <a:xfrm>
          <a:off x="9868415937" y="4414287"/>
          <a:ext cx="1524000" cy="316464"/>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مسح البيانات</a:t>
          </a:r>
        </a:p>
      </xdr:txBody>
    </xdr:sp>
    <xdr:clientData/>
  </xdr:twoCellAnchor>
  <xdr:twoCellAnchor editAs="absolute">
    <xdr:from>
      <xdr:col>13</xdr:col>
      <xdr:colOff>238125</xdr:colOff>
      <xdr:row>4</xdr:row>
      <xdr:rowOff>7934</xdr:rowOff>
    </xdr:from>
    <xdr:to>
      <xdr:col>13</xdr:col>
      <xdr:colOff>345283</xdr:colOff>
      <xdr:row>4</xdr:row>
      <xdr:rowOff>309562</xdr:rowOff>
    </xdr:to>
    <xdr:sp macro="" textlink="">
      <xdr:nvSpPr>
        <xdr:cNvPr id="21" name="Rectangle 15">
          <a:extLst>
            <a:ext uri="{FF2B5EF4-FFF2-40B4-BE49-F238E27FC236}">
              <a16:creationId xmlns:a16="http://schemas.microsoft.com/office/drawing/2014/main" id="{00000000-0008-0000-0000-000015000000}"/>
            </a:ext>
          </a:extLst>
        </xdr:cNvPr>
        <xdr:cNvSpPr/>
      </xdr:nvSpPr>
      <xdr:spPr>
        <a:xfrm>
          <a:off x="9873801530" y="698497"/>
          <a:ext cx="107158" cy="301628"/>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100" b="1"/>
            <a:t>X</a:t>
          </a:r>
          <a:endParaRPr lang="ar-EG" sz="1100" b="1"/>
        </a:p>
      </xdr:txBody>
    </xdr:sp>
    <xdr:clientData/>
  </xdr:twoCellAnchor>
  <xdr:twoCellAnchor editAs="absolute">
    <xdr:from>
      <xdr:col>21</xdr:col>
      <xdr:colOff>0</xdr:colOff>
      <xdr:row>30</xdr:row>
      <xdr:rowOff>116924</xdr:rowOff>
    </xdr:from>
    <xdr:to>
      <xdr:col>23</xdr:col>
      <xdr:colOff>508000</xdr:colOff>
      <xdr:row>32</xdr:row>
      <xdr:rowOff>162270</xdr:rowOff>
    </xdr:to>
    <xdr:sp macro="[0]!save_file" textlink="">
      <xdr:nvSpPr>
        <xdr:cNvPr id="22" name="Rectangle 21">
          <a:extLst>
            <a:ext uri="{FF2B5EF4-FFF2-40B4-BE49-F238E27FC236}">
              <a16:creationId xmlns:a16="http://schemas.microsoft.com/office/drawing/2014/main" id="{00000000-0008-0000-0000-000016000000}"/>
            </a:ext>
          </a:extLst>
        </xdr:cNvPr>
        <xdr:cNvSpPr>
          <a:spLocks noChangeAspect="1"/>
        </xdr:cNvSpPr>
      </xdr:nvSpPr>
      <xdr:spPr>
        <a:xfrm>
          <a:off x="9868415937" y="4842912"/>
          <a:ext cx="1524000" cy="427588"/>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1" anchor="ctr"/>
        <a:lstStyle/>
        <a:p>
          <a:pPr algn="ctr" rtl="1"/>
          <a:r>
            <a:rPr lang="ar-EG" sz="1400" b="1">
              <a:effectLst>
                <a:outerShdw blurRad="50800" dist="38100" dir="5400000" algn="t" rotWithShape="0">
                  <a:prstClr val="black">
                    <a:alpha val="40000"/>
                  </a:prstClr>
                </a:outerShdw>
              </a:effectLst>
            </a:rPr>
            <a:t>حفظ في فولدر</a:t>
          </a:r>
          <a:r>
            <a:rPr lang="ar-EG" sz="1400" b="1" baseline="0">
              <a:effectLst>
                <a:outerShdw blurRad="50800" dist="38100" dir="5400000" algn="t" rotWithShape="0">
                  <a:prstClr val="black">
                    <a:alpha val="40000"/>
                  </a:prstClr>
                </a:outerShdw>
              </a:effectLst>
            </a:rPr>
            <a:t> العميل</a:t>
          </a:r>
          <a:endParaRPr lang="ar-EG" sz="1400" b="1">
            <a:effectLst>
              <a:outerShdw blurRad="50800" dist="38100" dir="5400000" algn="t" rotWithShape="0">
                <a:prstClr val="black">
                  <a:alpha val="40000"/>
                </a:prstClr>
              </a:outerShdw>
            </a:effectLst>
          </a:endParaRPr>
        </a:p>
      </xdr:txBody>
    </xdr:sp>
    <xdr:clientData/>
  </xdr:twoCellAnchor>
  <xdr:twoCellAnchor editAs="oneCell">
    <xdr:from>
      <xdr:col>21</xdr:col>
      <xdr:colOff>57150</xdr:colOff>
      <xdr:row>19</xdr:row>
      <xdr:rowOff>47625</xdr:rowOff>
    </xdr:from>
    <xdr:to>
      <xdr:col>23</xdr:col>
      <xdr:colOff>452004</xdr:colOff>
      <xdr:row>21</xdr:row>
      <xdr:rowOff>152400</xdr:rowOff>
    </xdr:to>
    <xdr:sp macro="[0]!Papers_Refresh" textlink="">
      <xdr:nvSpPr>
        <xdr:cNvPr id="6" name="Rectangle 5">
          <a:extLst>
            <a:ext uri="{FF2B5EF4-FFF2-40B4-BE49-F238E27FC236}">
              <a16:creationId xmlns:a16="http://schemas.microsoft.com/office/drawing/2014/main" id="{00000000-0008-0000-0000-000006000000}"/>
            </a:ext>
          </a:extLst>
        </xdr:cNvPr>
        <xdr:cNvSpPr>
          <a:spLocks noChangeAspect="1"/>
        </xdr:cNvSpPr>
      </xdr:nvSpPr>
      <xdr:spPr>
        <a:xfrm>
          <a:off x="9816536871" y="3905250"/>
          <a:ext cx="1404504" cy="400050"/>
        </a:xfrm>
        <a:prstGeom prst="rect">
          <a:avLst/>
        </a:prstGeom>
        <a:solidFill>
          <a:schemeClr val="accent2"/>
        </a:solidFill>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r>
            <a:rPr lang="ar-EG" sz="1800" b="1" baseline="0">
              <a:effectLst>
                <a:outerShdw blurRad="50800" dist="38100" dir="5400000" algn="t" rotWithShape="0">
                  <a:prstClr val="black">
                    <a:alpha val="40000"/>
                  </a:prstClr>
                </a:outerShdw>
              </a:effectLst>
            </a:rPr>
            <a:t> البيانات</a:t>
          </a:r>
          <a:endParaRPr lang="ar-EG" sz="1800" b="1">
            <a:effectLst>
              <a:outerShdw blurRad="50800" dist="38100" dir="5400000" algn="t" rotWithShape="0">
                <a:prstClr val="black">
                  <a:alpha val="40000"/>
                </a:prstClr>
              </a:outerShdw>
            </a:effectLs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8</xdr:col>
      <xdr:colOff>571500</xdr:colOff>
      <xdr:row>6</xdr:row>
      <xdr:rowOff>186928</xdr:rowOff>
    </xdr:from>
    <xdr:to>
      <xdr:col>9</xdr:col>
      <xdr:colOff>161925</xdr:colOff>
      <xdr:row>8</xdr:row>
      <xdr:rowOff>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9826799625" y="1529953"/>
          <a:ext cx="190500" cy="270272"/>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xdr:twoCellAnchor>
    <xdr:from>
      <xdr:col>14</xdr:col>
      <xdr:colOff>465975</xdr:colOff>
      <xdr:row>23</xdr:row>
      <xdr:rowOff>114300</xdr:rowOff>
    </xdr:from>
    <xdr:to>
      <xdr:col>17</xdr:col>
      <xdr:colOff>57150</xdr:colOff>
      <xdr:row>25</xdr:row>
      <xdr:rowOff>179587</xdr:rowOff>
    </xdr:to>
    <xdr:sp macro="[0]!Ref_Dafter" textlink="">
      <xdr:nvSpPr>
        <xdr:cNvPr id="3" name="Rectangle 2">
          <a:extLst>
            <a:ext uri="{FF2B5EF4-FFF2-40B4-BE49-F238E27FC236}">
              <a16:creationId xmlns:a16="http://schemas.microsoft.com/office/drawing/2014/main" id="{00000000-0008-0000-0200-000003000000}"/>
            </a:ext>
          </a:extLst>
        </xdr:cNvPr>
        <xdr:cNvSpPr/>
      </xdr:nvSpPr>
      <xdr:spPr>
        <a:xfrm>
          <a:off x="9821560875" y="5162550"/>
          <a:ext cx="1419975" cy="474862"/>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17</xdr:col>
      <xdr:colOff>208800</xdr:colOff>
      <xdr:row>23</xdr:row>
      <xdr:rowOff>114300</xdr:rowOff>
    </xdr:from>
    <xdr:to>
      <xdr:col>20</xdr:col>
      <xdr:colOff>0</xdr:colOff>
      <xdr:row>25</xdr:row>
      <xdr:rowOff>179587</xdr:rowOff>
    </xdr:to>
    <xdr:sp macro="[0]!Clear_All_Data_Main" textlink="">
      <xdr:nvSpPr>
        <xdr:cNvPr id="4" name="Rectangle 3">
          <a:extLst>
            <a:ext uri="{FF2B5EF4-FFF2-40B4-BE49-F238E27FC236}">
              <a16:creationId xmlns:a16="http://schemas.microsoft.com/office/drawing/2014/main" id="{00000000-0008-0000-0200-000004000000}"/>
            </a:ext>
          </a:extLst>
        </xdr:cNvPr>
        <xdr:cNvSpPr/>
      </xdr:nvSpPr>
      <xdr:spPr>
        <a:xfrm>
          <a:off x="9820008300" y="5162550"/>
          <a:ext cx="1400925" cy="474862"/>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1" anchor="ctr"/>
        <a:lstStyle/>
        <a:p>
          <a:pPr algn="ctr" rtl="1"/>
          <a:r>
            <a:rPr lang="ar-EG" sz="1600" b="1">
              <a:effectLst>
                <a:outerShdw blurRad="50800" dist="38100" dir="5400000" algn="t" rotWithShape="0">
                  <a:prstClr val="black">
                    <a:alpha val="40000"/>
                  </a:prstClr>
                </a:outerShdw>
              </a:effectLst>
            </a:rPr>
            <a:t>مسح البيانات</a:t>
          </a:r>
        </a:p>
      </xdr:txBody>
    </xdr:sp>
    <xdr:clientData/>
  </xdr:twoCellAnchor>
  <mc:AlternateContent xmlns:mc="http://schemas.openxmlformats.org/markup-compatibility/2006">
    <mc:Choice xmlns:a14="http://schemas.microsoft.com/office/drawing/2010/main" Requires="a14">
      <xdr:twoCellAnchor editAs="oneCell">
        <xdr:from>
          <xdr:col>13</xdr:col>
          <xdr:colOff>542925</xdr:colOff>
          <xdr:row>1</xdr:row>
          <xdr:rowOff>9525</xdr:rowOff>
        </xdr:from>
        <xdr:to>
          <xdr:col>13</xdr:col>
          <xdr:colOff>733425</xdr:colOff>
          <xdr:row>2</xdr:row>
          <xdr:rowOff>9525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twoCellAnchor editAs="absolute">
    <xdr:from>
      <xdr:col>18</xdr:col>
      <xdr:colOff>19050</xdr:colOff>
      <xdr:row>3</xdr:row>
      <xdr:rowOff>103176</xdr:rowOff>
    </xdr:from>
    <xdr:to>
      <xdr:col>19</xdr:col>
      <xdr:colOff>666750</xdr:colOff>
      <xdr:row>5</xdr:row>
      <xdr:rowOff>97026</xdr:rowOff>
    </xdr:to>
    <xdr:sp macro="[0]!Open_Paper_Prices" textlink="">
      <xdr:nvSpPr>
        <xdr:cNvPr id="6" name="Rectangle 5">
          <a:extLst>
            <a:ext uri="{FF2B5EF4-FFF2-40B4-BE49-F238E27FC236}">
              <a16:creationId xmlns:a16="http://schemas.microsoft.com/office/drawing/2014/main" id="{00000000-0008-0000-0200-000006000000}"/>
            </a:ext>
          </a:extLst>
        </xdr:cNvPr>
        <xdr:cNvSpPr>
          <a:spLocks noChangeAspect="1"/>
        </xdr:cNvSpPr>
      </xdr:nvSpPr>
      <xdr:spPr>
        <a:xfrm>
          <a:off x="9868614375" y="555614"/>
          <a:ext cx="1362075" cy="43835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مخازن الورق</a:t>
          </a:r>
        </a:p>
      </xdr:txBody>
    </xdr:sp>
    <xdr:clientData/>
  </xdr:twoCellAnchor>
  <xdr:twoCellAnchor editAs="absolute">
    <xdr:from>
      <xdr:col>18</xdr:col>
      <xdr:colOff>19050</xdr:colOff>
      <xdr:row>5</xdr:row>
      <xdr:rowOff>239701</xdr:rowOff>
    </xdr:from>
    <xdr:to>
      <xdr:col>19</xdr:col>
      <xdr:colOff>666750</xdr:colOff>
      <xdr:row>7</xdr:row>
      <xdr:rowOff>214501</xdr:rowOff>
    </xdr:to>
    <xdr:sp macro="[0]!Open_Offset_Press" textlink="">
      <xdr:nvSpPr>
        <xdr:cNvPr id="7" name="Rectangle 6">
          <a:extLst>
            <a:ext uri="{FF2B5EF4-FFF2-40B4-BE49-F238E27FC236}">
              <a16:creationId xmlns:a16="http://schemas.microsoft.com/office/drawing/2014/main" id="{00000000-0008-0000-0200-000007000000}"/>
            </a:ext>
          </a:extLst>
        </xdr:cNvPr>
        <xdr:cNvSpPr>
          <a:spLocks noChangeAspect="1"/>
        </xdr:cNvSpPr>
      </xdr:nvSpPr>
      <xdr:spPr>
        <a:xfrm>
          <a:off x="9868614375" y="1136639"/>
          <a:ext cx="1362075" cy="427237"/>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المطابع</a:t>
          </a:r>
        </a:p>
      </xdr:txBody>
    </xdr:sp>
    <xdr:clientData/>
  </xdr:twoCellAnchor>
  <xdr:twoCellAnchor editAs="absolute">
    <xdr:from>
      <xdr:col>18</xdr:col>
      <xdr:colOff>19050</xdr:colOff>
      <xdr:row>8</xdr:row>
      <xdr:rowOff>119051</xdr:rowOff>
    </xdr:from>
    <xdr:to>
      <xdr:col>19</xdr:col>
      <xdr:colOff>666750</xdr:colOff>
      <xdr:row>10</xdr:row>
      <xdr:rowOff>106551</xdr:rowOff>
    </xdr:to>
    <xdr:sp macro="[0]!Open_Zink" textlink="">
      <xdr:nvSpPr>
        <xdr:cNvPr id="8" name="Rectangle 7">
          <a:extLst>
            <a:ext uri="{FF2B5EF4-FFF2-40B4-BE49-F238E27FC236}">
              <a16:creationId xmlns:a16="http://schemas.microsoft.com/office/drawing/2014/main" id="{00000000-0008-0000-0200-000008000000}"/>
            </a:ext>
          </a:extLst>
        </xdr:cNvPr>
        <xdr:cNvSpPr>
          <a:spLocks noChangeAspect="1"/>
        </xdr:cNvSpPr>
      </xdr:nvSpPr>
      <xdr:spPr>
        <a:xfrm>
          <a:off x="9868614375" y="1714489"/>
          <a:ext cx="1362075" cy="432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مكاتب</a:t>
          </a:r>
          <a:r>
            <a:rPr lang="ar-EG" sz="1800" b="1" baseline="0">
              <a:effectLst>
                <a:outerShdw blurRad="50800" dist="38100" dir="5400000" algn="t" rotWithShape="0">
                  <a:prstClr val="black">
                    <a:alpha val="40000"/>
                  </a:prstClr>
                </a:outerShdw>
              </a:effectLst>
            </a:rPr>
            <a:t> الفصل</a:t>
          </a:r>
          <a:endParaRPr lang="ar-EG" sz="1800" b="1">
            <a:effectLst>
              <a:outerShdw blurRad="50800" dist="38100" dir="5400000" algn="t" rotWithShape="0">
                <a:prstClr val="black">
                  <a:alpha val="40000"/>
                </a:prst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571500</xdr:colOff>
      <xdr:row>6</xdr:row>
      <xdr:rowOff>186928</xdr:rowOff>
    </xdr:from>
    <xdr:to>
      <xdr:col>9</xdr:col>
      <xdr:colOff>161925</xdr:colOff>
      <xdr:row>8</xdr:row>
      <xdr:rowOff>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9823551600" y="1339453"/>
          <a:ext cx="190500" cy="270272"/>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xdr:twoCellAnchor>
    <xdr:from>
      <xdr:col>14</xdr:col>
      <xdr:colOff>465975</xdr:colOff>
      <xdr:row>23</xdr:row>
      <xdr:rowOff>114300</xdr:rowOff>
    </xdr:from>
    <xdr:to>
      <xdr:col>17</xdr:col>
      <xdr:colOff>57150</xdr:colOff>
      <xdr:row>25</xdr:row>
      <xdr:rowOff>179587</xdr:rowOff>
    </xdr:to>
    <xdr:sp macro="[0]!Ref_Dafter" textlink="">
      <xdr:nvSpPr>
        <xdr:cNvPr id="3" name="Rectangle 2">
          <a:extLst>
            <a:ext uri="{FF2B5EF4-FFF2-40B4-BE49-F238E27FC236}">
              <a16:creationId xmlns:a16="http://schemas.microsoft.com/office/drawing/2014/main" id="{00000000-0008-0000-0300-000003000000}"/>
            </a:ext>
          </a:extLst>
        </xdr:cNvPr>
        <xdr:cNvSpPr/>
      </xdr:nvSpPr>
      <xdr:spPr>
        <a:xfrm>
          <a:off x="9818312850" y="4876800"/>
          <a:ext cx="1419975" cy="474862"/>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17</xdr:col>
      <xdr:colOff>208800</xdr:colOff>
      <xdr:row>23</xdr:row>
      <xdr:rowOff>114300</xdr:rowOff>
    </xdr:from>
    <xdr:to>
      <xdr:col>20</xdr:col>
      <xdr:colOff>0</xdr:colOff>
      <xdr:row>25</xdr:row>
      <xdr:rowOff>179587</xdr:rowOff>
    </xdr:to>
    <xdr:sp macro="[0]!Clear_All_Data_Main" textlink="">
      <xdr:nvSpPr>
        <xdr:cNvPr id="4" name="Rectangle 3">
          <a:extLst>
            <a:ext uri="{FF2B5EF4-FFF2-40B4-BE49-F238E27FC236}">
              <a16:creationId xmlns:a16="http://schemas.microsoft.com/office/drawing/2014/main" id="{00000000-0008-0000-0300-000004000000}"/>
            </a:ext>
          </a:extLst>
        </xdr:cNvPr>
        <xdr:cNvSpPr/>
      </xdr:nvSpPr>
      <xdr:spPr>
        <a:xfrm>
          <a:off x="9816626925" y="4876800"/>
          <a:ext cx="1534275" cy="474862"/>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1" anchor="ctr"/>
        <a:lstStyle/>
        <a:p>
          <a:pPr algn="ctr" rtl="1"/>
          <a:r>
            <a:rPr lang="ar-EG" sz="1600" b="1">
              <a:effectLst>
                <a:outerShdw blurRad="50800" dist="38100" dir="5400000" algn="t" rotWithShape="0">
                  <a:prstClr val="black">
                    <a:alpha val="40000"/>
                  </a:prstClr>
                </a:outerShdw>
              </a:effectLst>
            </a:rPr>
            <a:t>مسح البيانات</a:t>
          </a:r>
        </a:p>
      </xdr:txBody>
    </xdr:sp>
    <xdr:clientData/>
  </xdr:twoCellAnchor>
  <mc:AlternateContent xmlns:mc="http://schemas.openxmlformats.org/markup-compatibility/2006">
    <mc:Choice xmlns:a14="http://schemas.microsoft.com/office/drawing/2010/main" Requires="a14">
      <xdr:twoCellAnchor editAs="oneCell">
        <xdr:from>
          <xdr:col>13</xdr:col>
          <xdr:colOff>542925</xdr:colOff>
          <xdr:row>1</xdr:row>
          <xdr:rowOff>9525</xdr:rowOff>
        </xdr:from>
        <xdr:to>
          <xdr:col>13</xdr:col>
          <xdr:colOff>733425</xdr:colOff>
          <xdr:row>2</xdr:row>
          <xdr:rowOff>9525</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twoCellAnchor editAs="absolute">
    <xdr:from>
      <xdr:col>18</xdr:col>
      <xdr:colOff>19050</xdr:colOff>
      <xdr:row>3</xdr:row>
      <xdr:rowOff>103176</xdr:rowOff>
    </xdr:from>
    <xdr:to>
      <xdr:col>19</xdr:col>
      <xdr:colOff>666750</xdr:colOff>
      <xdr:row>5</xdr:row>
      <xdr:rowOff>97026</xdr:rowOff>
    </xdr:to>
    <xdr:sp macro="[0]!Open_Paper_Prices" textlink="">
      <xdr:nvSpPr>
        <xdr:cNvPr id="6" name="Rectangle 5">
          <a:extLst>
            <a:ext uri="{FF2B5EF4-FFF2-40B4-BE49-F238E27FC236}">
              <a16:creationId xmlns:a16="http://schemas.microsoft.com/office/drawing/2014/main" id="{00000000-0008-0000-0300-000006000000}"/>
            </a:ext>
          </a:extLst>
        </xdr:cNvPr>
        <xdr:cNvSpPr>
          <a:spLocks noChangeAspect="1"/>
        </xdr:cNvSpPr>
      </xdr:nvSpPr>
      <xdr:spPr>
        <a:xfrm>
          <a:off x="9816674550" y="560376"/>
          <a:ext cx="1362075" cy="44152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مخازن الورق</a:t>
          </a:r>
        </a:p>
      </xdr:txBody>
    </xdr:sp>
    <xdr:clientData/>
  </xdr:twoCellAnchor>
  <xdr:twoCellAnchor editAs="absolute">
    <xdr:from>
      <xdr:col>18</xdr:col>
      <xdr:colOff>19050</xdr:colOff>
      <xdr:row>5</xdr:row>
      <xdr:rowOff>239701</xdr:rowOff>
    </xdr:from>
    <xdr:to>
      <xdr:col>19</xdr:col>
      <xdr:colOff>666750</xdr:colOff>
      <xdr:row>7</xdr:row>
      <xdr:rowOff>214501</xdr:rowOff>
    </xdr:to>
    <xdr:sp macro="[0]!Open_Offset_Press" textlink="">
      <xdr:nvSpPr>
        <xdr:cNvPr id="7" name="Rectangle 6">
          <a:extLst>
            <a:ext uri="{FF2B5EF4-FFF2-40B4-BE49-F238E27FC236}">
              <a16:creationId xmlns:a16="http://schemas.microsoft.com/office/drawing/2014/main" id="{00000000-0008-0000-0300-000007000000}"/>
            </a:ext>
          </a:extLst>
        </xdr:cNvPr>
        <xdr:cNvSpPr>
          <a:spLocks noChangeAspect="1"/>
        </xdr:cNvSpPr>
      </xdr:nvSpPr>
      <xdr:spPr>
        <a:xfrm>
          <a:off x="9816674550" y="1144576"/>
          <a:ext cx="1362075" cy="432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المطابع</a:t>
          </a:r>
        </a:p>
      </xdr:txBody>
    </xdr:sp>
    <xdr:clientData/>
  </xdr:twoCellAnchor>
  <xdr:twoCellAnchor editAs="absolute">
    <xdr:from>
      <xdr:col>18</xdr:col>
      <xdr:colOff>19050</xdr:colOff>
      <xdr:row>8</xdr:row>
      <xdr:rowOff>119051</xdr:rowOff>
    </xdr:from>
    <xdr:to>
      <xdr:col>19</xdr:col>
      <xdr:colOff>666750</xdr:colOff>
      <xdr:row>10</xdr:row>
      <xdr:rowOff>106551</xdr:rowOff>
    </xdr:to>
    <xdr:sp macro="[0]!Open_Zink" textlink="">
      <xdr:nvSpPr>
        <xdr:cNvPr id="8" name="Rectangle 7">
          <a:extLst>
            <a:ext uri="{FF2B5EF4-FFF2-40B4-BE49-F238E27FC236}">
              <a16:creationId xmlns:a16="http://schemas.microsoft.com/office/drawing/2014/main" id="{00000000-0008-0000-0300-000008000000}"/>
            </a:ext>
          </a:extLst>
        </xdr:cNvPr>
        <xdr:cNvSpPr>
          <a:spLocks noChangeAspect="1"/>
        </xdr:cNvSpPr>
      </xdr:nvSpPr>
      <xdr:spPr>
        <a:xfrm>
          <a:off x="9816674550" y="1728776"/>
          <a:ext cx="1362075" cy="4351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مكاتب</a:t>
          </a:r>
          <a:r>
            <a:rPr lang="ar-EG" sz="1800" b="1" baseline="0">
              <a:effectLst>
                <a:outerShdw blurRad="50800" dist="38100" dir="5400000" algn="t" rotWithShape="0">
                  <a:prstClr val="black">
                    <a:alpha val="40000"/>
                  </a:prstClr>
                </a:outerShdw>
              </a:effectLst>
            </a:rPr>
            <a:t> الفصل</a:t>
          </a:r>
          <a:endParaRPr lang="ar-EG" sz="1800" b="1">
            <a:effectLst>
              <a:outerShdw blurRad="50800" dist="38100" dir="5400000" algn="t" rotWithShape="0">
                <a:prstClr val="black">
                  <a:alpha val="40000"/>
                </a:prst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24</xdr:row>
      <xdr:rowOff>69850</xdr:rowOff>
    </xdr:from>
    <xdr:to>
      <xdr:col>2</xdr:col>
      <xdr:colOff>1107375</xdr:colOff>
      <xdr:row>26</xdr:row>
      <xdr:rowOff>79376</xdr:rowOff>
    </xdr:to>
    <xdr:sp macro="[0]!Mwrden" textlink="">
      <xdr:nvSpPr>
        <xdr:cNvPr id="2" name="Rectangle 1">
          <a:extLst>
            <a:ext uri="{FF2B5EF4-FFF2-40B4-BE49-F238E27FC236}">
              <a16:creationId xmlns:a16="http://schemas.microsoft.com/office/drawing/2014/main" id="{00000000-0008-0000-0400-000002000000}"/>
            </a:ext>
          </a:extLst>
        </xdr:cNvPr>
        <xdr:cNvSpPr/>
      </xdr:nvSpPr>
      <xdr:spPr>
        <a:xfrm>
          <a:off x="9879135437" y="4657725"/>
          <a:ext cx="2813938" cy="4064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تحديث بيانات الموردين</a:t>
          </a:r>
        </a:p>
      </xdr:txBody>
    </xdr:sp>
    <xdr:clientData/>
  </xdr:twoCellAnchor>
  <xdr:twoCellAnchor editAs="absolute">
    <xdr:from>
      <xdr:col>3</xdr:col>
      <xdr:colOff>3175</xdr:colOff>
      <xdr:row>24</xdr:row>
      <xdr:rowOff>69850</xdr:rowOff>
    </xdr:from>
    <xdr:to>
      <xdr:col>6</xdr:col>
      <xdr:colOff>5650</xdr:colOff>
      <xdr:row>26</xdr:row>
      <xdr:rowOff>79376</xdr:rowOff>
    </xdr:to>
    <xdr:sp macro="[0]!Back" textlink="">
      <xdr:nvSpPr>
        <xdr:cNvPr id="3" name="Rectangle 2">
          <a:extLst>
            <a:ext uri="{FF2B5EF4-FFF2-40B4-BE49-F238E27FC236}">
              <a16:creationId xmlns:a16="http://schemas.microsoft.com/office/drawing/2014/main" id="{00000000-0008-0000-0400-000003000000}"/>
            </a:ext>
          </a:extLst>
        </xdr:cNvPr>
        <xdr:cNvSpPr/>
      </xdr:nvSpPr>
      <xdr:spPr>
        <a:xfrm>
          <a:off x="9876173162" y="4657725"/>
          <a:ext cx="2693288" cy="406401"/>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1" anchor="ctr"/>
        <a:lstStyle/>
        <a:p>
          <a:pPr algn="ctr" rtl="1"/>
          <a:r>
            <a:rPr lang="ar-EG" sz="1800" b="1"/>
            <a:t>رجوع</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590550</xdr:colOff>
          <xdr:row>17</xdr:row>
          <xdr:rowOff>152400</xdr:rowOff>
        </xdr:from>
        <xdr:to>
          <xdr:col>9</xdr:col>
          <xdr:colOff>809625</xdr:colOff>
          <xdr:row>19</xdr:row>
          <xdr:rowOff>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fLocksWithSheet="0"/>
      </xdr:twoCellAnchor>
    </mc:Choice>
    <mc:Fallback/>
  </mc:AlternateContent>
  <xdr:twoCellAnchor>
    <xdr:from>
      <xdr:col>8</xdr:col>
      <xdr:colOff>638175</xdr:colOff>
      <xdr:row>4</xdr:row>
      <xdr:rowOff>104775</xdr:rowOff>
    </xdr:from>
    <xdr:to>
      <xdr:col>9</xdr:col>
      <xdr:colOff>190500</xdr:colOff>
      <xdr:row>6</xdr:row>
      <xdr:rowOff>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9824656500" y="990600"/>
          <a:ext cx="257175" cy="257175"/>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xdr:twoCellAnchor>
    <xdr:from>
      <xdr:col>13</xdr:col>
      <xdr:colOff>619125</xdr:colOff>
      <xdr:row>23</xdr:row>
      <xdr:rowOff>28575</xdr:rowOff>
    </xdr:from>
    <xdr:to>
      <xdr:col>18</xdr:col>
      <xdr:colOff>0</xdr:colOff>
      <xdr:row>26</xdr:row>
      <xdr:rowOff>28575</xdr:rowOff>
    </xdr:to>
    <xdr:sp macro="[0]!Sheet_Close" textlink="">
      <xdr:nvSpPr>
        <xdr:cNvPr id="4" name="Rectangle 3">
          <a:extLst>
            <a:ext uri="{FF2B5EF4-FFF2-40B4-BE49-F238E27FC236}">
              <a16:creationId xmlns:a16="http://schemas.microsoft.com/office/drawing/2014/main" id="{00000000-0008-0000-0500-000004000000}"/>
            </a:ext>
          </a:extLst>
        </xdr:cNvPr>
        <xdr:cNvSpPr/>
      </xdr:nvSpPr>
      <xdr:spPr>
        <a:xfrm>
          <a:off x="9818493825" y="4743450"/>
          <a:ext cx="2638425" cy="6858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خروج</a:t>
          </a:r>
        </a:p>
      </xdr:txBody>
    </xdr:sp>
    <xdr:clientData/>
  </xdr:twoCellAnchor>
  <xdr:twoCellAnchor>
    <xdr:from>
      <xdr:col>13</xdr:col>
      <xdr:colOff>628649</xdr:colOff>
      <xdr:row>19</xdr:row>
      <xdr:rowOff>28575</xdr:rowOff>
    </xdr:from>
    <xdr:to>
      <xdr:col>17</xdr:col>
      <xdr:colOff>733424</xdr:colOff>
      <xdr:row>22</xdr:row>
      <xdr:rowOff>38100</xdr:rowOff>
    </xdr:to>
    <xdr:sp macro="[0]!Ref_Off" textlink="">
      <xdr:nvSpPr>
        <xdr:cNvPr id="5" name="Rectangle 4">
          <a:extLst>
            <a:ext uri="{FF2B5EF4-FFF2-40B4-BE49-F238E27FC236}">
              <a16:creationId xmlns:a16="http://schemas.microsoft.com/office/drawing/2014/main" id="{00000000-0008-0000-0500-000005000000}"/>
            </a:ext>
          </a:extLst>
        </xdr:cNvPr>
        <xdr:cNvSpPr/>
      </xdr:nvSpPr>
      <xdr:spPr>
        <a:xfrm>
          <a:off x="9818493826" y="4171950"/>
          <a:ext cx="2638425" cy="4095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8</xdr:col>
      <xdr:colOff>47625</xdr:colOff>
      <xdr:row>1</xdr:row>
      <xdr:rowOff>28575</xdr:rowOff>
    </xdr:from>
    <xdr:to>
      <xdr:col>9</xdr:col>
      <xdr:colOff>219075</xdr:colOff>
      <xdr:row>1</xdr:row>
      <xdr:rowOff>200025</xdr:rowOff>
    </xdr:to>
    <xdr:sp macro="[0]!Calc_Size_Off" textlink="">
      <xdr:nvSpPr>
        <xdr:cNvPr id="6" name="Rectangle 5">
          <a:extLst>
            <a:ext uri="{FF2B5EF4-FFF2-40B4-BE49-F238E27FC236}">
              <a16:creationId xmlns:a16="http://schemas.microsoft.com/office/drawing/2014/main" id="{00000000-0008-0000-0500-000006000000}"/>
            </a:ext>
          </a:extLst>
        </xdr:cNvPr>
        <xdr:cNvSpPr/>
      </xdr:nvSpPr>
      <xdr:spPr>
        <a:xfrm>
          <a:off x="9824627925" y="161925"/>
          <a:ext cx="876300" cy="171450"/>
        </a:xfrm>
        <a:prstGeom prst="rect">
          <a:avLst/>
        </a:prstGeom>
        <a:solidFill>
          <a:srgbClr val="FF3399"/>
        </a:solidFill>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050" b="1"/>
            <a:t>احسب</a:t>
          </a:r>
          <a:r>
            <a:rPr lang="ar-EG" sz="1050" b="1" baseline="0"/>
            <a:t> المقاس</a:t>
          </a:r>
          <a:endParaRPr lang="ar-EG" sz="1050" b="1"/>
        </a:p>
      </xdr:txBody>
    </xdr:sp>
    <xdr:clientData/>
  </xdr:twoCellAnchor>
  <mc:AlternateContent xmlns:mc="http://schemas.openxmlformats.org/markup-compatibility/2006">
    <mc:Choice xmlns:a14="http://schemas.microsoft.com/office/drawing/2010/main" Requires="a14">
      <xdr:twoCellAnchor editAs="absolute">
        <xdr:from>
          <xdr:col>2</xdr:col>
          <xdr:colOff>28575</xdr:colOff>
          <xdr:row>4</xdr:row>
          <xdr:rowOff>95250</xdr:rowOff>
        </xdr:from>
        <xdr:to>
          <xdr:col>2</xdr:col>
          <xdr:colOff>247650</xdr:colOff>
          <xdr:row>6</xdr:row>
          <xdr:rowOff>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twoCellAnchor editAs="absolute">
    <xdr:from>
      <xdr:col>8</xdr:col>
      <xdr:colOff>698500</xdr:colOff>
      <xdr:row>14</xdr:row>
      <xdr:rowOff>7937</xdr:rowOff>
    </xdr:from>
    <xdr:to>
      <xdr:col>9</xdr:col>
      <xdr:colOff>792487</xdr:colOff>
      <xdr:row>14</xdr:row>
      <xdr:rowOff>230186</xdr:rowOff>
    </xdr:to>
    <xdr:sp macro="[0]!Papers_Refresh" textlink="">
      <xdr:nvSpPr>
        <xdr:cNvPr id="10" name="Rectangle 9">
          <a:extLst>
            <a:ext uri="{FF2B5EF4-FFF2-40B4-BE49-F238E27FC236}">
              <a16:creationId xmlns:a16="http://schemas.microsoft.com/office/drawing/2014/main" id="{00000000-0008-0000-0500-00000A000000}"/>
            </a:ext>
          </a:extLst>
        </xdr:cNvPr>
        <xdr:cNvSpPr/>
      </xdr:nvSpPr>
      <xdr:spPr>
        <a:xfrm>
          <a:off x="9878298008" y="3048000"/>
          <a:ext cx="833554" cy="222249"/>
        </a:xfrm>
        <a:prstGeom prst="rect">
          <a:avLst/>
        </a:prstGeom>
        <a:solidFill>
          <a:srgbClr val="D6DCE5">
            <a:alpha val="69804"/>
          </a:srgb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1">
              <a:ln>
                <a:noFill/>
              </a:ln>
              <a:effectLst/>
            </a:rPr>
            <a:t>تحديث أسعار</a:t>
          </a:r>
          <a:r>
            <a:rPr lang="ar-EG" sz="800" b="1" baseline="0">
              <a:ln>
                <a:noFill/>
              </a:ln>
              <a:effectLst/>
            </a:rPr>
            <a:t> الورق</a:t>
          </a:r>
          <a:endParaRPr lang="ar-EG" sz="800" b="1">
            <a:ln>
              <a:noFill/>
            </a:ln>
            <a:effectLst/>
          </a:endParaRPr>
        </a:p>
      </xdr:txBody>
    </xdr:sp>
    <xdr:clientData/>
  </xdr:twoCellAnchor>
  <xdr:twoCellAnchor editAs="absolute">
    <xdr:from>
      <xdr:col>9</xdr:col>
      <xdr:colOff>804955</xdr:colOff>
      <xdr:row>14</xdr:row>
      <xdr:rowOff>7937</xdr:rowOff>
    </xdr:from>
    <xdr:to>
      <xdr:col>10</xdr:col>
      <xdr:colOff>800307</xdr:colOff>
      <xdr:row>14</xdr:row>
      <xdr:rowOff>230186</xdr:rowOff>
    </xdr:to>
    <xdr:sp macro="[0]!Open_Papers" textlink="">
      <xdr:nvSpPr>
        <xdr:cNvPr id="11" name="Rectangle 10">
          <a:extLst>
            <a:ext uri="{FF2B5EF4-FFF2-40B4-BE49-F238E27FC236}">
              <a16:creationId xmlns:a16="http://schemas.microsoft.com/office/drawing/2014/main" id="{00000000-0008-0000-0500-00000B000000}"/>
            </a:ext>
          </a:extLst>
        </xdr:cNvPr>
        <xdr:cNvSpPr/>
      </xdr:nvSpPr>
      <xdr:spPr>
        <a:xfrm>
          <a:off x="9877448812" y="3048000"/>
          <a:ext cx="836728" cy="222249"/>
        </a:xfrm>
        <a:prstGeom prst="rect">
          <a:avLst/>
        </a:prstGeom>
        <a:solidFill>
          <a:schemeClr val="tx2">
            <a:lumMod val="40000"/>
            <a:lumOff val="60000"/>
            <a:alpha val="69804"/>
          </a:scheme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0">
              <a:ln>
                <a:noFill/>
              </a:ln>
              <a:solidFill>
                <a:srgbClr val="C00000"/>
              </a:solidFill>
              <a:effectLst/>
            </a:rPr>
            <a:t>تعديل</a:t>
          </a:r>
          <a:r>
            <a:rPr lang="ar-EG" sz="800" b="0" baseline="0">
              <a:ln>
                <a:noFill/>
              </a:ln>
              <a:solidFill>
                <a:srgbClr val="C00000"/>
              </a:solidFill>
              <a:effectLst/>
            </a:rPr>
            <a:t> أسعار الورق</a:t>
          </a:r>
          <a:endParaRPr lang="ar-EG" sz="800" b="0">
            <a:ln>
              <a:noFill/>
            </a:ln>
            <a:solidFill>
              <a:srgbClr val="C00000"/>
            </a:solidFill>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627059</xdr:colOff>
      <xdr:row>6</xdr:row>
      <xdr:rowOff>200025</xdr:rowOff>
    </xdr:from>
    <xdr:to>
      <xdr:col>11</xdr:col>
      <xdr:colOff>134934</xdr:colOff>
      <xdr:row>8</xdr:row>
      <xdr:rowOff>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9874289691" y="1565275"/>
          <a:ext cx="190500" cy="252413"/>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9</xdr:row>
          <xdr:rowOff>219075</xdr:rowOff>
        </xdr:from>
        <xdr:to>
          <xdr:col>12</xdr:col>
          <xdr:colOff>238125</xdr:colOff>
          <xdr:row>11</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0">
                <a:defRPr sz="1000"/>
              </a:pPr>
              <a:r>
                <a:rPr lang="en-US" sz="800" b="0" i="0" u="none" strike="noStrike" baseline="0">
                  <a:solidFill>
                    <a:srgbClr val="000000"/>
                  </a:solidFill>
                  <a:latin typeface="Segoe UI"/>
                  <a:cs typeface="Segoe UI"/>
                </a:rPr>
                <a:t> </a:t>
              </a:r>
            </a:p>
          </xdr:txBody>
        </xdr:sp>
        <xdr:clientData fLocksWithSheet="0"/>
      </xdr:twoCellAnchor>
    </mc:Choice>
    <mc:Fallback/>
  </mc:AlternateContent>
  <xdr:twoCellAnchor>
    <xdr:from>
      <xdr:col>15</xdr:col>
      <xdr:colOff>428624</xdr:colOff>
      <xdr:row>17</xdr:row>
      <xdr:rowOff>66675</xdr:rowOff>
    </xdr:from>
    <xdr:to>
      <xdr:col>18</xdr:col>
      <xdr:colOff>666749</xdr:colOff>
      <xdr:row>19</xdr:row>
      <xdr:rowOff>47625</xdr:rowOff>
    </xdr:to>
    <xdr:sp macro="[0]!Ref_Dig" textlink="">
      <xdr:nvSpPr>
        <xdr:cNvPr id="4" name="Rectangle 3">
          <a:extLst>
            <a:ext uri="{FF2B5EF4-FFF2-40B4-BE49-F238E27FC236}">
              <a16:creationId xmlns:a16="http://schemas.microsoft.com/office/drawing/2014/main" id="{00000000-0008-0000-0600-000004000000}"/>
            </a:ext>
          </a:extLst>
        </xdr:cNvPr>
        <xdr:cNvSpPr/>
      </xdr:nvSpPr>
      <xdr:spPr>
        <a:xfrm>
          <a:off x="9819979726" y="3619500"/>
          <a:ext cx="1971675" cy="40005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15</xdr:col>
      <xdr:colOff>428624</xdr:colOff>
      <xdr:row>20</xdr:row>
      <xdr:rowOff>0</xdr:rowOff>
    </xdr:from>
    <xdr:to>
      <xdr:col>18</xdr:col>
      <xdr:colOff>676274</xdr:colOff>
      <xdr:row>23</xdr:row>
      <xdr:rowOff>38100</xdr:rowOff>
    </xdr:to>
    <xdr:sp macro="[0]!Sheet_Close" textlink="">
      <xdr:nvSpPr>
        <xdr:cNvPr id="5" name="Rectangle 4">
          <a:extLst>
            <a:ext uri="{FF2B5EF4-FFF2-40B4-BE49-F238E27FC236}">
              <a16:creationId xmlns:a16="http://schemas.microsoft.com/office/drawing/2014/main" id="{00000000-0008-0000-0600-000005000000}"/>
            </a:ext>
          </a:extLst>
        </xdr:cNvPr>
        <xdr:cNvSpPr/>
      </xdr:nvSpPr>
      <xdr:spPr>
        <a:xfrm>
          <a:off x="9819979726" y="4162425"/>
          <a:ext cx="1971675" cy="6858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خروج</a:t>
          </a:r>
        </a:p>
      </xdr:txBody>
    </xdr:sp>
    <xdr:clientData/>
  </xdr:twoCellAnchor>
  <xdr:twoCellAnchor>
    <xdr:from>
      <xdr:col>10</xdr:col>
      <xdr:colOff>47625</xdr:colOff>
      <xdr:row>3</xdr:row>
      <xdr:rowOff>47625</xdr:rowOff>
    </xdr:from>
    <xdr:to>
      <xdr:col>11</xdr:col>
      <xdr:colOff>209550</xdr:colOff>
      <xdr:row>3</xdr:row>
      <xdr:rowOff>200025</xdr:rowOff>
    </xdr:to>
    <xdr:sp macro="[0]!Calc_Size_Dig" textlink="">
      <xdr:nvSpPr>
        <xdr:cNvPr id="6" name="Rectangle 5">
          <a:extLst>
            <a:ext uri="{FF2B5EF4-FFF2-40B4-BE49-F238E27FC236}">
              <a16:creationId xmlns:a16="http://schemas.microsoft.com/office/drawing/2014/main" id="{00000000-0008-0000-0600-000006000000}"/>
            </a:ext>
          </a:extLst>
        </xdr:cNvPr>
        <xdr:cNvSpPr/>
      </xdr:nvSpPr>
      <xdr:spPr>
        <a:xfrm>
          <a:off x="9825180375" y="628650"/>
          <a:ext cx="847725" cy="152400"/>
        </a:xfrm>
        <a:prstGeom prst="rect">
          <a:avLst/>
        </a:prstGeom>
        <a:solidFill>
          <a:srgbClr val="FF3399"/>
        </a:solidFill>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050" b="1"/>
            <a:t>احسب</a:t>
          </a:r>
          <a:r>
            <a:rPr lang="ar-EG" sz="1050" b="1" baseline="0"/>
            <a:t> المقاس</a:t>
          </a:r>
          <a:endParaRPr lang="ar-EG" sz="1050" b="1"/>
        </a:p>
      </xdr:txBody>
    </xdr:sp>
    <xdr:clientData/>
  </xdr:twoCellAnchor>
  <xdr:twoCellAnchor editAs="absolute">
    <xdr:from>
      <xdr:col>4</xdr:col>
      <xdr:colOff>714375</xdr:colOff>
      <xdr:row>15</xdr:row>
      <xdr:rowOff>15875</xdr:rowOff>
    </xdr:from>
    <xdr:to>
      <xdr:col>5</xdr:col>
      <xdr:colOff>791451</xdr:colOff>
      <xdr:row>15</xdr:row>
      <xdr:rowOff>238124</xdr:rowOff>
    </xdr:to>
    <xdr:sp macro="[0]!Papers_Refresh" textlink="">
      <xdr:nvSpPr>
        <xdr:cNvPr id="3" name="Rectangle 2">
          <a:extLst>
            <a:ext uri="{FF2B5EF4-FFF2-40B4-BE49-F238E27FC236}">
              <a16:creationId xmlns:a16="http://schemas.microsoft.com/office/drawing/2014/main" id="{00000000-0008-0000-0600-000003000000}"/>
            </a:ext>
          </a:extLst>
        </xdr:cNvPr>
        <xdr:cNvSpPr/>
      </xdr:nvSpPr>
      <xdr:spPr>
        <a:xfrm>
          <a:off x="9877665424" y="3087688"/>
          <a:ext cx="831139" cy="222249"/>
        </a:xfrm>
        <a:prstGeom prst="rect">
          <a:avLst/>
        </a:prstGeom>
        <a:solidFill>
          <a:srgbClr val="D6DCE5">
            <a:alpha val="69804"/>
          </a:srgb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1">
              <a:ln>
                <a:noFill/>
              </a:ln>
              <a:effectLst/>
            </a:rPr>
            <a:t>تحديث أسعار</a:t>
          </a:r>
          <a:r>
            <a:rPr lang="ar-EG" sz="800" b="1" baseline="0">
              <a:ln>
                <a:noFill/>
              </a:ln>
              <a:effectLst/>
            </a:rPr>
            <a:t> الورق</a:t>
          </a:r>
          <a:endParaRPr lang="ar-EG" sz="800" b="1">
            <a:ln>
              <a:noFill/>
            </a:ln>
            <a:effectLst/>
          </a:endParaRPr>
        </a:p>
      </xdr:txBody>
    </xdr:sp>
    <xdr:clientData/>
  </xdr:twoCellAnchor>
  <xdr:twoCellAnchor editAs="absolute">
    <xdr:from>
      <xdr:col>5</xdr:col>
      <xdr:colOff>803919</xdr:colOff>
      <xdr:row>15</xdr:row>
      <xdr:rowOff>15875</xdr:rowOff>
    </xdr:from>
    <xdr:to>
      <xdr:col>7</xdr:col>
      <xdr:colOff>16565</xdr:colOff>
      <xdr:row>15</xdr:row>
      <xdr:rowOff>238124</xdr:rowOff>
    </xdr:to>
    <xdr:sp macro="[0]!Open_Papers" textlink="">
      <xdr:nvSpPr>
        <xdr:cNvPr id="7" name="Rectangle 6">
          <a:extLst>
            <a:ext uri="{FF2B5EF4-FFF2-40B4-BE49-F238E27FC236}">
              <a16:creationId xmlns:a16="http://schemas.microsoft.com/office/drawing/2014/main" id="{00000000-0008-0000-0600-000007000000}"/>
            </a:ext>
          </a:extLst>
        </xdr:cNvPr>
        <xdr:cNvSpPr/>
      </xdr:nvSpPr>
      <xdr:spPr>
        <a:xfrm>
          <a:off x="9876821060" y="3087688"/>
          <a:ext cx="831896" cy="222249"/>
        </a:xfrm>
        <a:prstGeom prst="rect">
          <a:avLst/>
        </a:prstGeom>
        <a:solidFill>
          <a:schemeClr val="tx2">
            <a:lumMod val="40000"/>
            <a:lumOff val="60000"/>
            <a:alpha val="69804"/>
          </a:scheme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0">
              <a:ln>
                <a:noFill/>
              </a:ln>
              <a:solidFill>
                <a:srgbClr val="C00000"/>
              </a:solidFill>
              <a:effectLst/>
            </a:rPr>
            <a:t>تعديل</a:t>
          </a:r>
          <a:r>
            <a:rPr lang="ar-EG" sz="800" b="0" baseline="0">
              <a:ln>
                <a:noFill/>
              </a:ln>
              <a:solidFill>
                <a:srgbClr val="C00000"/>
              </a:solidFill>
              <a:effectLst/>
            </a:rPr>
            <a:t> أسعار الورق</a:t>
          </a:r>
          <a:endParaRPr lang="ar-EG" sz="800" b="0">
            <a:ln>
              <a:noFill/>
            </a:ln>
            <a:solidFill>
              <a:srgbClr val="C00000"/>
            </a:solidFill>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642935</xdr:colOff>
      <xdr:row>5</xdr:row>
      <xdr:rowOff>0</xdr:rowOff>
    </xdr:from>
    <xdr:to>
      <xdr:col>9</xdr:col>
      <xdr:colOff>84205</xdr:colOff>
      <xdr:row>6</xdr:row>
      <xdr:rowOff>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9879555358" y="1055688"/>
          <a:ext cx="163582" cy="246062"/>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xdr:twoCellAnchor>
    <xdr:from>
      <xdr:col>14</xdr:col>
      <xdr:colOff>19049</xdr:colOff>
      <xdr:row>18</xdr:row>
      <xdr:rowOff>209550</xdr:rowOff>
    </xdr:from>
    <xdr:to>
      <xdr:col>17</xdr:col>
      <xdr:colOff>495300</xdr:colOff>
      <xdr:row>20</xdr:row>
      <xdr:rowOff>180975</xdr:rowOff>
    </xdr:to>
    <xdr:sp macro="[0]!Ref_Off_inner" textlink="">
      <xdr:nvSpPr>
        <xdr:cNvPr id="3" name="Rectangle 2">
          <a:extLst>
            <a:ext uri="{FF2B5EF4-FFF2-40B4-BE49-F238E27FC236}">
              <a16:creationId xmlns:a16="http://schemas.microsoft.com/office/drawing/2014/main" id="{00000000-0008-0000-0700-000003000000}"/>
            </a:ext>
          </a:extLst>
        </xdr:cNvPr>
        <xdr:cNvSpPr/>
      </xdr:nvSpPr>
      <xdr:spPr>
        <a:xfrm>
          <a:off x="9821532300" y="4114800"/>
          <a:ext cx="2371726" cy="4095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14</xdr:col>
      <xdr:colOff>9524</xdr:colOff>
      <xdr:row>22</xdr:row>
      <xdr:rowOff>0</xdr:rowOff>
    </xdr:from>
    <xdr:to>
      <xdr:col>17</xdr:col>
      <xdr:colOff>485775</xdr:colOff>
      <xdr:row>25</xdr:row>
      <xdr:rowOff>0</xdr:rowOff>
    </xdr:to>
    <xdr:sp macro="[0]!Sheet_Close" textlink="">
      <xdr:nvSpPr>
        <xdr:cNvPr id="4" name="Rectangle 3">
          <a:extLst>
            <a:ext uri="{FF2B5EF4-FFF2-40B4-BE49-F238E27FC236}">
              <a16:creationId xmlns:a16="http://schemas.microsoft.com/office/drawing/2014/main" id="{00000000-0008-0000-0700-000004000000}"/>
            </a:ext>
          </a:extLst>
        </xdr:cNvPr>
        <xdr:cNvSpPr/>
      </xdr:nvSpPr>
      <xdr:spPr>
        <a:xfrm>
          <a:off x="9821532300" y="4714875"/>
          <a:ext cx="2381251" cy="6858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خروج</a:t>
          </a:r>
        </a:p>
      </xdr:txBody>
    </xdr:sp>
    <xdr:clientData/>
  </xdr:twoCellAnchor>
  <xdr:twoCellAnchor>
    <xdr:from>
      <xdr:col>8</xdr:col>
      <xdr:colOff>47626</xdr:colOff>
      <xdr:row>1</xdr:row>
      <xdr:rowOff>28575</xdr:rowOff>
    </xdr:from>
    <xdr:to>
      <xdr:col>9</xdr:col>
      <xdr:colOff>219076</xdr:colOff>
      <xdr:row>1</xdr:row>
      <xdr:rowOff>200025</xdr:rowOff>
    </xdr:to>
    <xdr:sp macro="[0]!Calc_Size_Off_inner" textlink="">
      <xdr:nvSpPr>
        <xdr:cNvPr id="5" name="Rectangle 4">
          <a:extLst>
            <a:ext uri="{FF2B5EF4-FFF2-40B4-BE49-F238E27FC236}">
              <a16:creationId xmlns:a16="http://schemas.microsoft.com/office/drawing/2014/main" id="{00000000-0008-0000-0700-000005000000}"/>
            </a:ext>
          </a:extLst>
        </xdr:cNvPr>
        <xdr:cNvSpPr/>
      </xdr:nvSpPr>
      <xdr:spPr>
        <a:xfrm>
          <a:off x="9827466374" y="161925"/>
          <a:ext cx="895350" cy="171450"/>
        </a:xfrm>
        <a:prstGeom prst="rect">
          <a:avLst/>
        </a:prstGeom>
        <a:solidFill>
          <a:srgbClr val="FF3399"/>
        </a:solidFill>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ar-EG" sz="1050" b="1"/>
            <a:t>احسب</a:t>
          </a:r>
          <a:r>
            <a:rPr lang="ar-EG" sz="1050" b="1" baseline="0"/>
            <a:t> المقاس</a:t>
          </a:r>
          <a:endParaRPr lang="ar-EG" sz="1050" b="1"/>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4</xdr:row>
          <xdr:rowOff>200025</xdr:rowOff>
        </xdr:from>
        <xdr:to>
          <xdr:col>2</xdr:col>
          <xdr:colOff>238125</xdr:colOff>
          <xdr:row>5</xdr:row>
          <xdr:rowOff>219075</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07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0">
                <a:defRPr sz="1000"/>
              </a:pPr>
              <a:r>
                <a:rPr lang="en-US" sz="800" b="0" i="0" u="none" strike="noStrike" baseline="0">
                  <a:solidFill>
                    <a:srgbClr val="000000"/>
                  </a:solidFill>
                  <a:latin typeface="Segoe UI"/>
                  <a:cs typeface="Segoe UI"/>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5</xdr:row>
          <xdr:rowOff>0</xdr:rowOff>
        </xdr:from>
        <xdr:to>
          <xdr:col>6</xdr:col>
          <xdr:colOff>619125</xdr:colOff>
          <xdr:row>5</xdr:row>
          <xdr:rowOff>228600</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07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0">
                <a:defRPr sz="1000"/>
              </a:pPr>
              <a:r>
                <a:rPr lang="en-US" sz="800" b="0" i="0" u="none" strike="noStrike" baseline="0">
                  <a:solidFill>
                    <a:srgbClr val="000000"/>
                  </a:solidFill>
                  <a:latin typeface="Segoe UI"/>
                  <a:cs typeface="Segoe UI"/>
                </a:rPr>
                <a:t> </a:t>
              </a:r>
            </a:p>
          </xdr:txBody>
        </xdr:sp>
        <xdr:clientData fLocksWithSheet="0"/>
      </xdr:twoCellAnchor>
    </mc:Choice>
    <mc:Fallback/>
  </mc:AlternateContent>
  <xdr:twoCellAnchor editAs="absolute">
    <xdr:from>
      <xdr:col>8</xdr:col>
      <xdr:colOff>684068</xdr:colOff>
      <xdr:row>14</xdr:row>
      <xdr:rowOff>17318</xdr:rowOff>
    </xdr:from>
    <xdr:to>
      <xdr:col>9</xdr:col>
      <xdr:colOff>787843</xdr:colOff>
      <xdr:row>14</xdr:row>
      <xdr:rowOff>239567</xdr:rowOff>
    </xdr:to>
    <xdr:sp macro="[0]!Papers_Refresh" textlink="">
      <xdr:nvSpPr>
        <xdr:cNvPr id="6" name="Rectangle 5">
          <a:extLst>
            <a:ext uri="{FF2B5EF4-FFF2-40B4-BE49-F238E27FC236}">
              <a16:creationId xmlns:a16="http://schemas.microsoft.com/office/drawing/2014/main" id="{00000000-0008-0000-0700-000006000000}"/>
            </a:ext>
          </a:extLst>
        </xdr:cNvPr>
        <xdr:cNvSpPr/>
      </xdr:nvSpPr>
      <xdr:spPr>
        <a:xfrm>
          <a:off x="9780209520" y="3177886"/>
          <a:ext cx="831139" cy="222249"/>
        </a:xfrm>
        <a:prstGeom prst="rect">
          <a:avLst/>
        </a:prstGeom>
        <a:solidFill>
          <a:srgbClr val="D6DCE5">
            <a:alpha val="69804"/>
          </a:srgb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1">
              <a:ln>
                <a:noFill/>
              </a:ln>
              <a:effectLst/>
            </a:rPr>
            <a:t>تحديث أسعار</a:t>
          </a:r>
          <a:r>
            <a:rPr lang="ar-EG" sz="800" b="1" baseline="0">
              <a:ln>
                <a:noFill/>
              </a:ln>
              <a:effectLst/>
            </a:rPr>
            <a:t> الورق</a:t>
          </a:r>
          <a:endParaRPr lang="ar-EG" sz="800" b="1">
            <a:ln>
              <a:noFill/>
            </a:ln>
            <a:effectLst/>
          </a:endParaRPr>
        </a:p>
      </xdr:txBody>
    </xdr:sp>
    <xdr:clientData/>
  </xdr:twoCellAnchor>
  <xdr:twoCellAnchor editAs="absolute">
    <xdr:from>
      <xdr:col>10</xdr:col>
      <xdr:colOff>12334</xdr:colOff>
      <xdr:row>14</xdr:row>
      <xdr:rowOff>17318</xdr:rowOff>
    </xdr:from>
    <xdr:to>
      <xdr:col>11</xdr:col>
      <xdr:colOff>4298</xdr:colOff>
      <xdr:row>14</xdr:row>
      <xdr:rowOff>239567</xdr:rowOff>
    </xdr:to>
    <xdr:sp macro="[0]!Open_Papers" textlink="">
      <xdr:nvSpPr>
        <xdr:cNvPr id="7" name="Rectangle 6">
          <a:extLst>
            <a:ext uri="{FF2B5EF4-FFF2-40B4-BE49-F238E27FC236}">
              <a16:creationId xmlns:a16="http://schemas.microsoft.com/office/drawing/2014/main" id="{00000000-0008-0000-0700-000007000000}"/>
            </a:ext>
          </a:extLst>
        </xdr:cNvPr>
        <xdr:cNvSpPr/>
      </xdr:nvSpPr>
      <xdr:spPr>
        <a:xfrm>
          <a:off x="9779365156" y="3177886"/>
          <a:ext cx="831896" cy="222249"/>
        </a:xfrm>
        <a:prstGeom prst="rect">
          <a:avLst/>
        </a:prstGeom>
        <a:solidFill>
          <a:schemeClr val="tx2">
            <a:lumMod val="40000"/>
            <a:lumOff val="60000"/>
            <a:alpha val="69804"/>
          </a:scheme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0">
              <a:ln>
                <a:noFill/>
              </a:ln>
              <a:solidFill>
                <a:srgbClr val="C00000"/>
              </a:solidFill>
              <a:effectLst/>
            </a:rPr>
            <a:t>تعديل</a:t>
          </a:r>
          <a:r>
            <a:rPr lang="ar-EG" sz="800" b="0" baseline="0">
              <a:ln>
                <a:noFill/>
              </a:ln>
              <a:solidFill>
                <a:srgbClr val="C00000"/>
              </a:solidFill>
              <a:effectLst/>
            </a:rPr>
            <a:t> أسعار الورق</a:t>
          </a:r>
          <a:endParaRPr lang="ar-EG" sz="800" b="0">
            <a:ln>
              <a:noFill/>
            </a:ln>
            <a:solidFill>
              <a:srgbClr val="C00000"/>
            </a:solidFill>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7</xdr:row>
      <xdr:rowOff>0</xdr:rowOff>
    </xdr:from>
    <xdr:to>
      <xdr:col>11</xdr:col>
      <xdr:colOff>190500</xdr:colOff>
      <xdr:row>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9824866050" y="1600200"/>
          <a:ext cx="190500" cy="257175"/>
        </a:xfrm>
        <a:prstGeom prst="rect">
          <a:avLst/>
        </a:prstGeom>
        <a:solidFill>
          <a:schemeClr val="tx1">
            <a:lumMod val="95000"/>
            <a:lumOff val="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1" anchor="ctr"/>
        <a:lstStyle/>
        <a:p>
          <a:pPr algn="ctr" rtl="1"/>
          <a:r>
            <a:rPr lang="en-US" sz="1400" b="1"/>
            <a:t>X</a:t>
          </a:r>
          <a:endParaRPr lang="ar-EG" sz="1400" b="1"/>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9</xdr:row>
          <xdr:rowOff>219075</xdr:rowOff>
        </xdr:from>
        <xdr:to>
          <xdr:col>12</xdr:col>
          <xdr:colOff>238125</xdr:colOff>
          <xdr:row>11</xdr:row>
          <xdr:rowOff>28575</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0">
                <a:defRPr sz="1000"/>
              </a:pPr>
              <a:r>
                <a:rPr lang="en-US" sz="800" b="0" i="0" u="none" strike="noStrike" baseline="0">
                  <a:solidFill>
                    <a:srgbClr val="000000"/>
                  </a:solidFill>
                  <a:latin typeface="Segoe UI"/>
                  <a:cs typeface="Segoe UI"/>
                </a:rPr>
                <a:t> </a:t>
              </a:r>
            </a:p>
          </xdr:txBody>
        </xdr:sp>
        <xdr:clientData fLocksWithSheet="0"/>
      </xdr:twoCellAnchor>
    </mc:Choice>
    <mc:Fallback/>
  </mc:AlternateContent>
  <xdr:twoCellAnchor>
    <xdr:from>
      <xdr:col>16</xdr:col>
      <xdr:colOff>0</xdr:colOff>
      <xdr:row>17</xdr:row>
      <xdr:rowOff>0</xdr:rowOff>
    </xdr:from>
    <xdr:to>
      <xdr:col>19</xdr:col>
      <xdr:colOff>0</xdr:colOff>
      <xdr:row>18</xdr:row>
      <xdr:rowOff>171450</xdr:rowOff>
    </xdr:to>
    <xdr:sp macro="[0]!Ref_Dig_inner" textlink="">
      <xdr:nvSpPr>
        <xdr:cNvPr id="4" name="Rectangle 3">
          <a:extLst>
            <a:ext uri="{FF2B5EF4-FFF2-40B4-BE49-F238E27FC236}">
              <a16:creationId xmlns:a16="http://schemas.microsoft.com/office/drawing/2014/main" id="{00000000-0008-0000-0800-000004000000}"/>
            </a:ext>
          </a:extLst>
        </xdr:cNvPr>
        <xdr:cNvSpPr/>
      </xdr:nvSpPr>
      <xdr:spPr>
        <a:xfrm>
          <a:off x="9819655875" y="3609975"/>
          <a:ext cx="1971675" cy="40005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p>
      </xdr:txBody>
    </xdr:sp>
    <xdr:clientData/>
  </xdr:twoCellAnchor>
  <xdr:twoCellAnchor>
    <xdr:from>
      <xdr:col>16</xdr:col>
      <xdr:colOff>0</xdr:colOff>
      <xdr:row>19</xdr:row>
      <xdr:rowOff>161925</xdr:rowOff>
    </xdr:from>
    <xdr:to>
      <xdr:col>19</xdr:col>
      <xdr:colOff>0</xdr:colOff>
      <xdr:row>23</xdr:row>
      <xdr:rowOff>9525</xdr:rowOff>
    </xdr:to>
    <xdr:sp macro="[0]!Sheet_Close" textlink="">
      <xdr:nvSpPr>
        <xdr:cNvPr id="5" name="Rectangle 4">
          <a:extLst>
            <a:ext uri="{FF2B5EF4-FFF2-40B4-BE49-F238E27FC236}">
              <a16:creationId xmlns:a16="http://schemas.microsoft.com/office/drawing/2014/main" id="{00000000-0008-0000-0800-000005000000}"/>
            </a:ext>
          </a:extLst>
        </xdr:cNvPr>
        <xdr:cNvSpPr/>
      </xdr:nvSpPr>
      <xdr:spPr>
        <a:xfrm>
          <a:off x="9819655875" y="4191000"/>
          <a:ext cx="1971675" cy="6858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خروج</a:t>
          </a:r>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9</xdr:row>
          <xdr:rowOff>219075</xdr:rowOff>
        </xdr:from>
        <xdr:to>
          <xdr:col>12</xdr:col>
          <xdr:colOff>238125</xdr:colOff>
          <xdr:row>11</xdr:row>
          <xdr:rowOff>9525</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8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18288" rIns="27432" bIns="18288" anchor="ctr" upright="1"/>
            <a:lstStyle/>
            <a:p>
              <a:pPr algn="r" rtl="0">
                <a:defRPr sz="1000"/>
              </a:pPr>
              <a:r>
                <a:rPr lang="en-US" sz="800" b="0" i="0" u="none" strike="noStrike" baseline="0">
                  <a:solidFill>
                    <a:srgbClr val="000000"/>
                  </a:solidFill>
                  <a:latin typeface="Segoe UI"/>
                  <a:cs typeface="Segoe UI"/>
                </a:rPr>
                <a:t> </a:t>
              </a:r>
            </a:p>
          </xdr:txBody>
        </xdr:sp>
        <xdr:clientData fLocksWithSheet="0"/>
      </xdr:twoCellAnchor>
    </mc:Choice>
    <mc:Fallback/>
  </mc:AlternateContent>
  <xdr:twoCellAnchor editAs="absolute">
    <xdr:from>
      <xdr:col>4</xdr:col>
      <xdr:colOff>706438</xdr:colOff>
      <xdr:row>15</xdr:row>
      <xdr:rowOff>15875</xdr:rowOff>
    </xdr:from>
    <xdr:to>
      <xdr:col>5</xdr:col>
      <xdr:colOff>783515</xdr:colOff>
      <xdr:row>15</xdr:row>
      <xdr:rowOff>238124</xdr:rowOff>
    </xdr:to>
    <xdr:sp macro="[0]!Papers_Refresh" textlink="">
      <xdr:nvSpPr>
        <xdr:cNvPr id="3" name="Rectangle 2">
          <a:extLst>
            <a:ext uri="{FF2B5EF4-FFF2-40B4-BE49-F238E27FC236}">
              <a16:creationId xmlns:a16="http://schemas.microsoft.com/office/drawing/2014/main" id="{00000000-0008-0000-0800-000003000000}"/>
            </a:ext>
          </a:extLst>
        </xdr:cNvPr>
        <xdr:cNvSpPr/>
      </xdr:nvSpPr>
      <xdr:spPr>
        <a:xfrm>
          <a:off x="9877649548" y="3016250"/>
          <a:ext cx="831139" cy="222249"/>
        </a:xfrm>
        <a:prstGeom prst="rect">
          <a:avLst/>
        </a:prstGeom>
        <a:solidFill>
          <a:srgbClr val="D6DCE5">
            <a:alpha val="69804"/>
          </a:srgb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1">
              <a:ln>
                <a:noFill/>
              </a:ln>
              <a:effectLst/>
            </a:rPr>
            <a:t>تحديث أسعار</a:t>
          </a:r>
          <a:r>
            <a:rPr lang="ar-EG" sz="800" b="1" baseline="0">
              <a:ln>
                <a:noFill/>
              </a:ln>
              <a:effectLst/>
            </a:rPr>
            <a:t> الورق</a:t>
          </a:r>
          <a:endParaRPr lang="ar-EG" sz="800" b="1">
            <a:ln>
              <a:noFill/>
            </a:ln>
            <a:effectLst/>
          </a:endParaRPr>
        </a:p>
      </xdr:txBody>
    </xdr:sp>
    <xdr:clientData/>
  </xdr:twoCellAnchor>
  <xdr:twoCellAnchor editAs="absolute">
    <xdr:from>
      <xdr:col>5</xdr:col>
      <xdr:colOff>795983</xdr:colOff>
      <xdr:row>15</xdr:row>
      <xdr:rowOff>15875</xdr:rowOff>
    </xdr:from>
    <xdr:to>
      <xdr:col>7</xdr:col>
      <xdr:colOff>8629</xdr:colOff>
      <xdr:row>15</xdr:row>
      <xdr:rowOff>238124</xdr:rowOff>
    </xdr:to>
    <xdr:sp macro="[0]!Open_Papers" textlink="">
      <xdr:nvSpPr>
        <xdr:cNvPr id="6" name="Rectangle 5">
          <a:extLst>
            <a:ext uri="{FF2B5EF4-FFF2-40B4-BE49-F238E27FC236}">
              <a16:creationId xmlns:a16="http://schemas.microsoft.com/office/drawing/2014/main" id="{00000000-0008-0000-0800-000006000000}"/>
            </a:ext>
          </a:extLst>
        </xdr:cNvPr>
        <xdr:cNvSpPr/>
      </xdr:nvSpPr>
      <xdr:spPr>
        <a:xfrm>
          <a:off x="9876805184" y="3016250"/>
          <a:ext cx="831896" cy="222249"/>
        </a:xfrm>
        <a:prstGeom prst="rect">
          <a:avLst/>
        </a:prstGeom>
        <a:solidFill>
          <a:schemeClr val="tx2">
            <a:lumMod val="40000"/>
            <a:lumOff val="60000"/>
            <a:alpha val="69804"/>
          </a:schemeClr>
        </a:solidFill>
        <a:effectLst/>
        <a:scene3d>
          <a:camera prst="orthographicFront"/>
          <a:lightRig rig="threePt" dir="t"/>
        </a:scene3d>
        <a:sp3d prstMaterial="dkEdge">
          <a:bevelT w="50800" h="38100"/>
          <a:bevelB w="0" h="0"/>
        </a:sp3d>
      </xdr:spPr>
      <xdr:style>
        <a:lnRef idx="1">
          <a:schemeClr val="accent1"/>
        </a:lnRef>
        <a:fillRef idx="2">
          <a:schemeClr val="accent1"/>
        </a:fillRef>
        <a:effectRef idx="1">
          <a:schemeClr val="accent1"/>
        </a:effectRef>
        <a:fontRef idx="minor">
          <a:schemeClr val="dk1"/>
        </a:fontRef>
      </xdr:style>
      <xdr:txBody>
        <a:bodyPr vertOverflow="clip" horzOverflow="clip" rtlCol="1" anchor="ctr"/>
        <a:lstStyle/>
        <a:p>
          <a:pPr algn="ctr" rtl="1"/>
          <a:r>
            <a:rPr lang="ar-EG" sz="800" b="0">
              <a:ln>
                <a:noFill/>
              </a:ln>
              <a:solidFill>
                <a:srgbClr val="C00000"/>
              </a:solidFill>
              <a:effectLst/>
            </a:rPr>
            <a:t>تعديل</a:t>
          </a:r>
          <a:r>
            <a:rPr lang="ar-EG" sz="800" b="0" baseline="0">
              <a:ln>
                <a:noFill/>
              </a:ln>
              <a:solidFill>
                <a:srgbClr val="C00000"/>
              </a:solidFill>
              <a:effectLst/>
            </a:rPr>
            <a:t> أسعار الورق</a:t>
          </a:r>
          <a:endParaRPr lang="ar-EG" sz="800" b="0">
            <a:ln>
              <a:noFill/>
            </a:ln>
            <a:solidFill>
              <a:srgbClr val="C00000"/>
            </a:solidFill>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809625</xdr:colOff>
      <xdr:row>20</xdr:row>
      <xdr:rowOff>114300</xdr:rowOff>
    </xdr:from>
    <xdr:to>
      <xdr:col>6</xdr:col>
      <xdr:colOff>100444</xdr:colOff>
      <xdr:row>23</xdr:row>
      <xdr:rowOff>2598</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00000000-0008-0000-0A00-000006000000}"/>
            </a:ext>
          </a:extLst>
        </xdr:cNvPr>
        <xdr:cNvSpPr>
          <a:spLocks noChangeAspect="1"/>
        </xdr:cNvSpPr>
      </xdr:nvSpPr>
      <xdr:spPr>
        <a:xfrm>
          <a:off x="9832738031" y="4829175"/>
          <a:ext cx="2272144" cy="450273"/>
        </a:xfrm>
        <a:prstGeom prst="rect">
          <a:avLst/>
        </a:prstGeom>
        <a:solidFill>
          <a:srgbClr val="00B050"/>
        </a:solidFill>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تعديل</a:t>
          </a:r>
          <a:r>
            <a:rPr lang="ar-EG" sz="1800" b="1" baseline="0">
              <a:effectLst>
                <a:outerShdw blurRad="50800" dist="38100" dir="5400000" algn="t" rotWithShape="0">
                  <a:prstClr val="black">
                    <a:alpha val="40000"/>
                  </a:prstClr>
                </a:outerShdw>
              </a:effectLst>
            </a:rPr>
            <a:t> البيانات</a:t>
          </a:r>
          <a:endParaRPr lang="ar-EG" sz="1800" b="1">
            <a:effectLst>
              <a:outerShdw blurRad="50800" dist="38100" dir="5400000" algn="t" rotWithShape="0">
                <a:prstClr val="black">
                  <a:alpha val="40000"/>
                </a:prstClr>
              </a:outerShdw>
            </a:effectLst>
          </a:endParaRPr>
        </a:p>
      </xdr:txBody>
    </xdr:sp>
    <xdr:clientData fPrintsWithSheet="0"/>
  </xdr:twoCellAnchor>
  <xdr:twoCellAnchor editAs="absolute">
    <xdr:from>
      <xdr:col>7</xdr:col>
      <xdr:colOff>167983</xdr:colOff>
      <xdr:row>20</xdr:row>
      <xdr:rowOff>114300</xdr:rowOff>
    </xdr:from>
    <xdr:to>
      <xdr:col>9</xdr:col>
      <xdr:colOff>67537</xdr:colOff>
      <xdr:row>23</xdr:row>
      <xdr:rowOff>2598</xdr:rowOff>
    </xdr:to>
    <xdr:sp macro="[0]!Papers_Refresh" textlink="">
      <xdr:nvSpPr>
        <xdr:cNvPr id="7" name="Rectangle 6">
          <a:extLst>
            <a:ext uri="{FF2B5EF4-FFF2-40B4-BE49-F238E27FC236}">
              <a16:creationId xmlns:a16="http://schemas.microsoft.com/office/drawing/2014/main" id="{00000000-0008-0000-0A00-000007000000}"/>
            </a:ext>
          </a:extLst>
        </xdr:cNvPr>
        <xdr:cNvSpPr>
          <a:spLocks noChangeAspect="1"/>
        </xdr:cNvSpPr>
      </xdr:nvSpPr>
      <xdr:spPr>
        <a:xfrm>
          <a:off x="9831075488" y="4829175"/>
          <a:ext cx="1404504" cy="450273"/>
        </a:xfrm>
        <a:prstGeom prst="rect">
          <a:avLst/>
        </a:prstGeom>
        <a:solidFill>
          <a:schemeClr val="accent2"/>
        </a:solidFill>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r>
            <a:rPr lang="ar-EG" sz="1800" b="1" baseline="0">
              <a:effectLst>
                <a:outerShdw blurRad="50800" dist="38100" dir="5400000" algn="t" rotWithShape="0">
                  <a:prstClr val="black">
                    <a:alpha val="40000"/>
                  </a:prstClr>
                </a:outerShdw>
              </a:effectLst>
            </a:rPr>
            <a:t> البيانات</a:t>
          </a:r>
          <a:endParaRPr lang="ar-EG" sz="1800" b="1">
            <a:effectLst>
              <a:outerShdw blurRad="50800" dist="38100" dir="5400000" algn="t" rotWithShape="0">
                <a:prstClr val="black">
                  <a:alpha val="40000"/>
                </a:prstClr>
              </a:outerShdw>
            </a:effectLst>
          </a:endParaRPr>
        </a:p>
      </xdr:txBody>
    </xdr:sp>
    <xdr:clientData fPrintsWithSheet="0"/>
  </xdr:twoCellAnchor>
  <xdr:twoCellAnchor editAs="absolute">
    <xdr:from>
      <xdr:col>11</xdr:col>
      <xdr:colOff>167983</xdr:colOff>
      <xdr:row>20</xdr:row>
      <xdr:rowOff>131618</xdr:rowOff>
    </xdr:from>
    <xdr:to>
      <xdr:col>16</xdr:col>
      <xdr:colOff>458927</xdr:colOff>
      <xdr:row>23</xdr:row>
      <xdr:rowOff>10391</xdr:rowOff>
    </xdr:to>
    <xdr:sp macro="[0]!Sheet_Close" textlink="">
      <xdr:nvSpPr>
        <xdr:cNvPr id="8" name="Rectangle 7">
          <a:extLst>
            <a:ext uri="{FF2B5EF4-FFF2-40B4-BE49-F238E27FC236}">
              <a16:creationId xmlns:a16="http://schemas.microsoft.com/office/drawing/2014/main" id="{00000000-0008-0000-0A00-000008000000}"/>
            </a:ext>
          </a:extLst>
        </xdr:cNvPr>
        <xdr:cNvSpPr>
          <a:spLocks noChangeAspect="1"/>
        </xdr:cNvSpPr>
      </xdr:nvSpPr>
      <xdr:spPr>
        <a:xfrm>
          <a:off x="9826835998" y="4846493"/>
          <a:ext cx="2900794" cy="45027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إغلاق</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13</xdr:col>
      <xdr:colOff>104776</xdr:colOff>
      <xdr:row>21</xdr:row>
      <xdr:rowOff>9524</xdr:rowOff>
    </xdr:from>
    <xdr:to>
      <xdr:col>17</xdr:col>
      <xdr:colOff>1</xdr:colOff>
      <xdr:row>24</xdr:row>
      <xdr:rowOff>66674</xdr:rowOff>
    </xdr:to>
    <xdr:sp macro="[0]!Sheet_Close_Papers" textlink="">
      <xdr:nvSpPr>
        <xdr:cNvPr id="4" name="Rectangle 3">
          <a:extLst>
            <a:ext uri="{FF2B5EF4-FFF2-40B4-BE49-F238E27FC236}">
              <a16:creationId xmlns:a16="http://schemas.microsoft.com/office/drawing/2014/main" id="{00000000-0008-0000-0C00-000004000000}"/>
            </a:ext>
          </a:extLst>
        </xdr:cNvPr>
        <xdr:cNvSpPr/>
      </xdr:nvSpPr>
      <xdr:spPr>
        <a:xfrm>
          <a:off x="9824608874" y="5410199"/>
          <a:ext cx="2486025" cy="65722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إغلاق</a:t>
          </a:r>
          <a:r>
            <a:rPr lang="ar-EG" sz="1800" b="1" baseline="0">
              <a:effectLst>
                <a:outerShdw blurRad="50800" dist="38100" dir="5400000" algn="t" rotWithShape="0">
                  <a:prstClr val="black">
                    <a:alpha val="40000"/>
                  </a:prstClr>
                </a:outerShdw>
              </a:effectLst>
            </a:rPr>
            <a:t> الورق</a:t>
          </a:r>
          <a:endParaRPr lang="ar-EG" sz="1800" b="1">
            <a:effectLst>
              <a:outerShdw blurRad="50800" dist="38100" dir="5400000" algn="t" rotWithShape="0">
                <a:prstClr val="black">
                  <a:alpha val="40000"/>
                </a:prstClr>
              </a:outerShdw>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580162</xdr:colOff>
      <xdr:row>26</xdr:row>
      <xdr:rowOff>181839</xdr:rowOff>
    </xdr:from>
    <xdr:to>
      <xdr:col>4</xdr:col>
      <xdr:colOff>263238</xdr:colOff>
      <xdr:row>29</xdr:row>
      <xdr:rowOff>60612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9931410966" y="5134839"/>
          <a:ext cx="2358735" cy="450273"/>
        </a:xfrm>
        <a:prstGeom prst="rect">
          <a:avLst/>
        </a:prstGeom>
        <a:solidFill>
          <a:srgbClr val="00B050"/>
        </a:solidFill>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تعديل</a:t>
          </a:r>
          <a:r>
            <a:rPr lang="ar-EG" sz="1800" b="1" baseline="0">
              <a:effectLst>
                <a:outerShdw blurRad="50800" dist="38100" dir="5400000" algn="t" rotWithShape="0">
                  <a:prstClr val="black">
                    <a:alpha val="40000"/>
                  </a:prstClr>
                </a:outerShdw>
              </a:effectLst>
            </a:rPr>
            <a:t> البيانات</a:t>
          </a:r>
          <a:endParaRPr lang="ar-EG" sz="1800" b="1">
            <a:effectLst>
              <a:outerShdw blurRad="50800" dist="38100" dir="5400000" algn="t" rotWithShape="0">
                <a:prstClr val="black">
                  <a:alpha val="40000"/>
                </a:prstClr>
              </a:outerShdw>
            </a:effectLst>
          </a:endParaRPr>
        </a:p>
      </xdr:txBody>
    </xdr:sp>
    <xdr:clientData/>
  </xdr:twoCellAnchor>
  <xdr:twoCellAnchor>
    <xdr:from>
      <xdr:col>5</xdr:col>
      <xdr:colOff>140277</xdr:colOff>
      <xdr:row>26</xdr:row>
      <xdr:rowOff>181839</xdr:rowOff>
    </xdr:from>
    <xdr:to>
      <xdr:col>6</xdr:col>
      <xdr:colOff>837333</xdr:colOff>
      <xdr:row>29</xdr:row>
      <xdr:rowOff>60612</xdr:rowOff>
    </xdr:to>
    <xdr:sp macro="[0]!Papers_Refresh" textlink="">
      <xdr:nvSpPr>
        <xdr:cNvPr id="3" name="Rectangle 2">
          <a:extLst>
            <a:ext uri="{FF2B5EF4-FFF2-40B4-BE49-F238E27FC236}">
              <a16:creationId xmlns:a16="http://schemas.microsoft.com/office/drawing/2014/main" id="{00000000-0008-0000-0D00-000003000000}"/>
            </a:ext>
          </a:extLst>
        </xdr:cNvPr>
        <xdr:cNvSpPr/>
      </xdr:nvSpPr>
      <xdr:spPr>
        <a:xfrm>
          <a:off x="9929563985" y="5134839"/>
          <a:ext cx="1588942" cy="450273"/>
        </a:xfrm>
        <a:prstGeom prst="rect">
          <a:avLst/>
        </a:prstGeom>
        <a:solidFill>
          <a:schemeClr val="accent2"/>
        </a:solidFill>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تحديث</a:t>
          </a:r>
          <a:r>
            <a:rPr lang="ar-EG" sz="1800" b="1" baseline="0">
              <a:effectLst>
                <a:outerShdw blurRad="50800" dist="38100" dir="5400000" algn="t" rotWithShape="0">
                  <a:prstClr val="black">
                    <a:alpha val="40000"/>
                  </a:prstClr>
                </a:outerShdw>
              </a:effectLst>
            </a:rPr>
            <a:t> البيانات</a:t>
          </a:r>
          <a:endParaRPr lang="ar-EG" sz="1800" b="1">
            <a:effectLst>
              <a:outerShdw blurRad="50800" dist="38100" dir="5400000" algn="t" rotWithShape="0">
                <a:prstClr val="black">
                  <a:alpha val="40000"/>
                </a:prstClr>
              </a:outerShdw>
            </a:effectLst>
          </a:endParaRPr>
        </a:p>
      </xdr:txBody>
    </xdr:sp>
    <xdr:clientData/>
  </xdr:twoCellAnchor>
  <xdr:twoCellAnchor>
    <xdr:from>
      <xdr:col>8</xdr:col>
      <xdr:colOff>952500</xdr:colOff>
      <xdr:row>27</xdr:row>
      <xdr:rowOff>8657</xdr:rowOff>
    </xdr:from>
    <xdr:to>
      <xdr:col>14</xdr:col>
      <xdr:colOff>363680</xdr:colOff>
      <xdr:row>29</xdr:row>
      <xdr:rowOff>77930</xdr:rowOff>
    </xdr:to>
    <xdr:sp macro="[0]!Sheet_Close" textlink="">
      <xdr:nvSpPr>
        <xdr:cNvPr id="4" name="Rectangle 3">
          <a:extLst>
            <a:ext uri="{FF2B5EF4-FFF2-40B4-BE49-F238E27FC236}">
              <a16:creationId xmlns:a16="http://schemas.microsoft.com/office/drawing/2014/main" id="{00000000-0008-0000-0D00-000004000000}"/>
            </a:ext>
          </a:extLst>
        </xdr:cNvPr>
        <xdr:cNvSpPr/>
      </xdr:nvSpPr>
      <xdr:spPr>
        <a:xfrm>
          <a:off x="9922027979" y="5152157"/>
          <a:ext cx="2900794" cy="45027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1" anchor="ctr"/>
        <a:lstStyle/>
        <a:p>
          <a:pPr algn="ctr" rtl="1"/>
          <a:r>
            <a:rPr lang="ar-EG" sz="1800" b="1">
              <a:effectLst>
                <a:outerShdw blurRad="50800" dist="38100" dir="5400000" algn="t" rotWithShape="0">
                  <a:prstClr val="black">
                    <a:alpha val="40000"/>
                  </a:prstClr>
                </a:outerShdw>
              </a:effectLst>
            </a:rPr>
            <a:t>إغلاق</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4" xr16:uid="{181531DB-9DA2-4002-88F4-A8D2DF71D8F7}" autoFormatId="16" applyNumberFormats="0" applyBorderFormats="0" applyFontFormats="0" applyPatternFormats="0" applyAlignmentFormats="0" applyWidthHeightFormats="0">
  <queryTableRefresh headersInLastRefresh="0" nextId="19">
    <queryTableFields count="12">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headers="0" connectionId="5" xr16:uid="{E503EC02-CEB8-4041-B358-4934778A610A}" autoFormatId="16" applyNumberFormats="0" applyBorderFormats="0" applyFontFormats="0" applyPatternFormats="0" applyAlignmentFormats="0" applyWidthHeightFormats="0">
  <queryTableRefresh headersInLastRefresh="0" nextId="22">
    <queryTableFields count="1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headers="0" connectionId="6" xr16:uid="{B3A72AF9-AAA6-4960-B374-F58344D668AC}" autoFormatId="16" applyNumberFormats="0" applyBorderFormats="0" applyFontFormats="0" applyPatternFormats="0" applyAlignmentFormats="0" applyWidthHeightFormats="0">
  <queryTableRefresh headersInLastRefresh="0" nextId="6">
    <queryTableFields count="4">
      <queryTableField id="1" name="Column1" tableColumnId="1"/>
      <queryTableField id="2" name="Column2" tableColumnId="2"/>
      <queryTableField id="3" name="Column3" tableColumnId="3"/>
      <queryTableField id="4" name="Column4" tableColumnId="4"/>
    </queryTableFields>
    <queryTableDeletedFields count="1">
      <deletedField name="Column5"/>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D00-000001000000}" autoFormatId="0" applyNumberFormats="0" applyBorderFormats="0" applyFontFormats="1" applyPatternFormats="1" applyAlignmentFormats="0" applyWidthHeightFormats="0">
  <queryTableRefresh preserveSortFilterLayout="0" nextId="12">
    <queryTableFields count="11">
      <queryTableField id="1" name="نوع الورق" tableColumnId="1"/>
      <queryTableField id="2" name="مقاس" tableColumnId="2"/>
      <queryTableField id="3" name="جم" tableColumnId="3"/>
      <queryTableField id="4" name="بلد المنشأ" tableColumnId="4"/>
      <queryTableField id="5" name="مخزن الورق" tableColumnId="5"/>
      <queryTableField id="6" name="السعر بتاريخ" tableColumnId="6"/>
      <queryTableField id="7" name="سعر الفرخ" tableColumnId="7"/>
      <queryTableField id="8" name="سعر فرق الورق" tableColumnId="8"/>
      <queryTableField id="9" name="مكربن أول" tableColumnId="9"/>
      <queryTableField id="10" name="مكربن وسط" tableColumnId="10"/>
      <queryTableField id="11" name="مكربن أخير"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3" xr16:uid="{00000000-0016-0000-0D00-000002000000}" autoFormatId="16" applyNumberFormats="0" applyBorderFormats="0" applyFontFormats="0" applyPatternFormats="0" applyAlignmentFormats="0" applyWidthHeightFormats="0">
  <queryTableRefresh nextId="14">
    <queryTableFields count="4">
      <queryTableField id="8" name="بلد المنشأ" tableColumnId="6"/>
      <queryTableField id="9" name="نوع الورق" tableColumnId="7"/>
      <queryTableField id="10" name="جم" tableColumnId="8"/>
      <queryTableField id="11" name="مخزن الورق" tableColumnId="9"/>
    </queryTableFields>
    <queryTableDeletedFields count="3">
      <deletedField name="Column15"/>
      <deletedField name="Column16"/>
      <deletedField name="Column17"/>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07953522-D3B6-4710-B49C-F60C4D8481ED}" autoFormatId="16" applyNumberFormats="0" applyBorderFormats="0" applyFontFormats="0" applyPatternFormats="0" applyAlignmentFormats="0" applyWidthHeightFormats="0">
  <queryTableRefresh headersInLastRefresh="0" nextId="16">
    <queryTableFields count="15">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0000000}" name="Table9" displayName="Table9" ref="I2:K21" totalsRowShown="0" headerRowDxfId="286" headerRowBorderDxfId="285" tableBorderDxfId="284">
  <autoFilter ref="I2:K21" xr:uid="{00000000-0009-0000-0100-00000B000000}"/>
  <tableColumns count="3">
    <tableColumn id="1" xr3:uid="{00000000-0010-0000-0000-000001000000}" name="اسم المورد" dataDxfId="283"/>
    <tableColumn id="2" xr3:uid="{00000000-0010-0000-0000-000002000000}" name="المطلوب" dataDxfId="282"/>
    <tableColumn id="3" xr3:uid="{00000000-0010-0000-0000-000003000000}" name="التكلفة" dataDxfId="2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Mowrden" displayName="Mowrden" ref="B2:D3" insertRow="1" totalsRowShown="0" headerRowDxfId="280" dataDxfId="278" headerRowBorderDxfId="279" tableBorderDxfId="277">
  <autoFilter ref="B2:D3" xr:uid="{00000000-0009-0000-0100-00000C000000}"/>
  <tableColumns count="3">
    <tableColumn id="1" xr3:uid="{00000000-0010-0000-0100-000001000000}" name="اسم المورد" dataDxfId="276"/>
    <tableColumn id="2" xr3:uid="{00000000-0010-0000-0100-000002000000}" name="البيان" dataDxfId="275"/>
    <tableColumn id="3" xr3:uid="{00000000-0010-0000-0100-000003000000}" name="التكلفة" dataDxfId="27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igital_Presses_Prices" displayName="Digital_Presses_Prices" ref="N4:U108" totalsRowShown="0" headerRowDxfId="273" dataDxfId="271" headerRowBorderDxfId="272" tableBorderDxfId="270" totalsRowBorderDxfId="269">
  <autoFilter ref="N4:U10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300-000001000000}" name="اسم المطبعة" dataDxfId="268">
      <calculatedColumnFormula>IFERROR(المطابع[[#This Row],[Column2]],"")</calculatedColumnFormula>
    </tableColumn>
    <tableColumn id="2" xr3:uid="{00000000-0010-0000-0300-000002000000}" name="الشريحة" dataDxfId="267">
      <calculatedColumnFormula>IFERROR(المطابع[[#This Row],[Column3]],"")</calculatedColumnFormula>
    </tableColumn>
    <tableColumn id="3" xr3:uid="{00000000-0010-0000-0300-000003000000}" name="طبعة من" dataDxfId="266">
      <calculatedColumnFormula>IFERROR(المطابع[[#This Row],[Column4]],"")</calculatedColumnFormula>
    </tableColumn>
    <tableColumn id="4" xr3:uid="{00000000-0010-0000-0300-000004000000}" name="اختيار" dataDxfId="265"/>
    <tableColumn id="5" xr3:uid="{00000000-0010-0000-0300-000005000000}" name="داخلي" dataDxfId="264">
      <calculatedColumnFormula>IF(AND('تسعير ديجيتال داخلي'!$V$23&gt;=P5,'تسعير ديجيتال داخلي'!$V$23&lt;=S5),TRUE,FALSE)</calculatedColumnFormula>
    </tableColumn>
    <tableColumn id="6" xr3:uid="{00000000-0010-0000-0300-000006000000}" name="طبعة إلى" dataDxfId="263">
      <calculatedColumnFormula>IFERROR(المطابع[[#This Row],[Column5]],"")</calculatedColumnFormula>
    </tableColumn>
    <tableColumn id="7" xr3:uid="{00000000-0010-0000-0300-000007000000}" name="سعر الطبعة" dataDxfId="262" dataCellStyle="Currency">
      <calculatedColumnFormula>IFERROR(المطابع[[#This Row],[Column6]],"")</calculatedColumnFormula>
    </tableColumn>
    <tableColumn id="8" xr3:uid="{00000000-0010-0000-0300-000008000000}" name="تفاصيل" dataDxfId="261">
      <calculatedColumnFormula>IFERROR(المطابع[[#This Row],[Column7]],"")</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Offset_Presses_Prices" displayName="Offset_Presses_Prices" ref="W4:Z21" totalsRowShown="0" headerRowDxfId="260" dataDxfId="259" tableBorderDxfId="258">
  <autoFilter ref="W4:Z21" xr:uid="{00000000-0009-0000-0100-000007000000}">
    <filterColumn colId="0" hiddenButton="1"/>
    <filterColumn colId="1" hiddenButton="1"/>
    <filterColumn colId="2" hiddenButton="1"/>
    <filterColumn colId="3" hiddenButton="1"/>
  </autoFilter>
  <sortState xmlns:xlrd2="http://schemas.microsoft.com/office/spreadsheetml/2017/richdata2" ref="W5:Z21">
    <sortCondition ref="W4:W21"/>
  </sortState>
  <tableColumns count="4">
    <tableColumn id="1" xr3:uid="{00000000-0010-0000-0400-000001000000}" name="اسم المطبعة" dataDxfId="257">
      <calculatedColumnFormula>IFERROR(المطابع[[#This Row],[Column9]],"")</calculatedColumnFormula>
    </tableColumn>
    <tableColumn id="2" xr3:uid="{00000000-0010-0000-0400-000002000000}" name="نوع الماكينة" dataDxfId="256">
      <calculatedColumnFormula>IFERROR(المطابع[[#This Row],[Column10]],"")</calculatedColumnFormula>
    </tableColumn>
    <tableColumn id="3" xr3:uid="{00000000-0010-0000-0400-000003000000}" name="سعر التراج" dataDxfId="255">
      <calculatedColumnFormula>IFERROR(المطابع[[#This Row],[Column11]],"")</calculatedColumnFormula>
    </tableColumn>
    <tableColumn id="4" xr3:uid="{00000000-0010-0000-0400-000004000000}" name="سعر اللون المخصوص" dataDxfId="254">
      <calculatedColumnFormula>IFERROR(المطابع[[#This Row],[Column12]],"")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D190746-5A1C-49F9-A117-8061F50ADE22}" name="المطابع" displayName="المطابع" ref="A2:L58" tableType="queryTable" headerRowCount="0" totalsRowShown="0" headerRowDxfId="253" dataDxfId="252">
  <tableColumns count="12">
    <tableColumn id="1" xr3:uid="{20E0D9BA-31D1-4CF4-9440-544D8A22E808}" uniqueName="1" name="Column1" queryTableFieldId="1" headerRowDxfId="251" dataDxfId="134"/>
    <tableColumn id="2" xr3:uid="{1ED0A4B0-6A5F-437F-924B-B4EBD7B9EF7E}" uniqueName="2" name="Column2" queryTableFieldId="2" headerRowDxfId="250" dataDxfId="133"/>
    <tableColumn id="3" xr3:uid="{06DAF1B9-65B0-455E-9922-CF189B0FECCB}" uniqueName="3" name="Column3" queryTableFieldId="3" headerRowDxfId="249" dataDxfId="132"/>
    <tableColumn id="4" xr3:uid="{97CF4D9D-F7D6-4CFF-B995-846B2D403993}" uniqueName="4" name="Column4" queryTableFieldId="4" headerRowDxfId="248" dataDxfId="131"/>
    <tableColumn id="5" xr3:uid="{9F4B9BC3-CD83-4844-971B-7C6AA75A387B}" uniqueName="5" name="Column5" queryTableFieldId="5" headerRowDxfId="247" dataDxfId="130"/>
    <tableColumn id="6" xr3:uid="{A4C11F6E-28C6-46D1-A5E1-4FF5003C1C65}" uniqueName="6" name="Column6" queryTableFieldId="6" headerRowDxfId="246" dataDxfId="129" dataCellStyle="Currency"/>
    <tableColumn id="7" xr3:uid="{A092F07B-E475-491B-9C45-7453DFBD6E4F}" uniqueName="7" name="Column7" queryTableFieldId="7" headerRowDxfId="245" dataDxfId="128"/>
    <tableColumn id="8" xr3:uid="{886550B6-E315-4B17-BEFF-3EAB24E4CA93}" uniqueName="8" name="Column8" queryTableFieldId="8" headerRowDxfId="244" dataDxfId="127"/>
    <tableColumn id="9" xr3:uid="{22648612-02F8-4A4A-8C93-9B8D55DD0645}" uniqueName="9" name="Column9" queryTableFieldId="9" headerRowDxfId="243" dataDxfId="126"/>
    <tableColumn id="10" xr3:uid="{34B7575C-6947-4EA2-8933-85E82D1AC24A}" uniqueName="10" name="Column10" queryTableFieldId="10" headerRowDxfId="242" dataDxfId="125"/>
    <tableColumn id="11" xr3:uid="{87F93EE0-18A6-4E90-9D70-3387640023C1}" uniqueName="11" name="Column11" queryTableFieldId="11" headerRowDxfId="241" dataDxfId="124"/>
    <tableColumn id="12" xr3:uid="{32475F06-8172-4F79-9490-FADF8AD7D517}" uniqueName="12" name="Column12" queryTableFieldId="12" headerRowDxfId="240" dataDxfId="123"/>
  </tableColumns>
  <tableStyleInfo name="TableStyleMedium7"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Lamination" displayName="Lamination" ref="S3:T19" totalsRowShown="0" headerRowDxfId="239" dataDxfId="238" tableBorderDxfId="237">
  <autoFilter ref="S3:T19" xr:uid="{00000000-0009-0000-0100-000002000000}">
    <filterColumn colId="0" hiddenButton="1"/>
    <filterColumn colId="1" hiddenButton="1"/>
  </autoFilter>
  <tableColumns count="2">
    <tableColumn id="1" xr3:uid="{00000000-0010-0000-0500-000001000000}" name="نوع التغطية" dataDxfId="236">
      <calculatedColumnFormula>IFERROR(خدمات_الطباعة[[#This Row],[Column2]],"")</calculatedColumnFormula>
    </tableColumn>
    <tableColumn id="3" xr3:uid="{00000000-0010-0000-0500-000003000000}" name="التكلفة" dataDxfId="235">
      <calculatedColumnFormula>IFERROR(خدمات_الطباعة[[#This Row],[Column3]],"")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2feel" displayName="Ta2feel" ref="V3:W19" totalsRowShown="0" headerRowDxfId="234" dataDxfId="233" tableBorderDxfId="232">
  <autoFilter ref="V3:W19" xr:uid="{00000000-0009-0000-0100-000003000000}">
    <filterColumn colId="0" hiddenButton="1"/>
    <filterColumn colId="1" hiddenButton="1"/>
  </autoFilter>
  <tableColumns count="2">
    <tableColumn id="1" xr3:uid="{00000000-0010-0000-0600-000001000000}" name="نوع التقفيل" dataDxfId="231">
      <calculatedColumnFormula>IFERROR(خدمات_الطباعة[[#This Row],[Column5]],"")</calculatedColumnFormula>
    </tableColumn>
    <tableColumn id="3" xr3:uid="{00000000-0010-0000-0600-000003000000}" name="التكلفة" dataDxfId="230">
      <calculatedColumnFormula>IFERROR(خدمات_الطباعة[[#This Row],[Column6]],"")</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2feel5" displayName="Ta2feel5" ref="Y3:Z19" totalsRowShown="0" headerRowDxfId="229" dataDxfId="228" tableBorderDxfId="227">
  <autoFilter ref="Y3:Z19" xr:uid="{00000000-0009-0000-0100-000004000000}">
    <filterColumn colId="0" hiddenButton="1"/>
    <filterColumn colId="1" hiddenButton="1"/>
  </autoFilter>
  <tableColumns count="2">
    <tableColumn id="1" xr3:uid="{00000000-0010-0000-0700-000001000000}" name="نوع التقفيل" dataDxfId="226">
      <calculatedColumnFormula>IFERROR(خدمات_الطباعة[[#This Row],[Column8]],"")</calculatedColumnFormula>
    </tableColumn>
    <tableColumn id="3" xr3:uid="{00000000-0010-0000-0700-000003000000}" name="التكلفة" dataDxfId="225">
      <calculatedColumnFormula>IFERROR(خدمات_الطباعة[[#This Row],[Column9]],"")</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Digital" displayName="Digital" ref="AB3:AD19" totalsRowShown="0" headerRowDxfId="224" dataDxfId="222" headerRowBorderDxfId="223" tableBorderDxfId="221">
  <autoFilter ref="AB3:AD19" xr:uid="{00000000-0009-0000-0100-000005000000}">
    <filterColumn colId="0" hiddenButton="1"/>
    <filterColumn colId="1" hiddenButton="1"/>
    <filterColumn colId="2" hiddenButton="1"/>
  </autoFilter>
  <tableColumns count="3">
    <tableColumn id="1" xr3:uid="{00000000-0010-0000-0800-000001000000}" name="نوع التغطية" dataDxfId="220">
      <calculatedColumnFormula>IFERROR(خدمات_الطباعة[[#This Row],[Column11]],"")</calculatedColumnFormula>
    </tableColumn>
    <tableColumn id="3" xr3:uid="{00000000-0010-0000-0800-000003000000}" name="التكلفة" dataDxfId="219">
      <calculatedColumnFormula>IFERROR(خدمات_الطباعة[[#This Row],[Column12]],"")</calculatedColumnFormula>
    </tableColumn>
    <tableColumn id="2" xr3:uid="{00000000-0010-0000-0800-000002000000}" name="إضافات" dataDxfId="218">
      <calculatedColumnFormula>IFERROR(خدمات_الطباعة[[#This Row],[Column13]],"")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Ta2feel16" displayName="Ta2feel16" ref="AF3:AH19" totalsRowShown="0" headerRowDxfId="217" dataDxfId="216" tableBorderDxfId="215">
  <autoFilter ref="AF3:AH19" xr:uid="{00000000-0009-0000-0100-00000F000000}">
    <filterColumn colId="0" hiddenButton="1"/>
    <filterColumn colId="1" hiddenButton="1"/>
    <filterColumn colId="2" hiddenButton="1"/>
  </autoFilter>
  <tableColumns count="3">
    <tableColumn id="1" xr3:uid="{00000000-0010-0000-0900-000001000000}" name="اسم المورد" dataDxfId="214">
      <calculatedColumnFormula>IFERROR(خدمات_الطباعة[[#This Row],[Column15]],"")</calculatedColumnFormula>
    </tableColumn>
    <tableColumn id="2" xr3:uid="{00000000-0010-0000-0900-000002000000}" name="حجم الحلقة" dataDxfId="213">
      <calculatedColumnFormula>IFERROR(خدمات_الطباعة[[#This Row],[Column16]],"")</calculatedColumnFormula>
    </tableColumn>
    <tableColumn id="3" xr3:uid="{00000000-0010-0000-0900-000003000000}" name="سعر الحلقة" dataDxfId="212">
      <calculatedColumnFormula>IFERROR(خدمات_الطباعة[[#This Row],[Column17]],"")</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F2C50A6-F28E-4666-83B7-B89480880EE4}" name="خدمات_الطباعة" displayName="خدمات_الطباعة" ref="A2:Q12" tableType="queryTable" headerRowCount="0" totalsRowShown="0" headerRowDxfId="211" dataDxfId="210">
  <tableColumns count="17">
    <tableColumn id="1" xr3:uid="{C84A7EDC-6917-4D87-AD29-7F533C8E5FFD}" uniqueName="1" name="Column1" queryTableFieldId="1" headerRowDxfId="209" dataDxfId="208"/>
    <tableColumn id="2" xr3:uid="{304B8C28-14A1-4603-A164-EF94058A9885}" uniqueName="2" name="Column2" queryTableFieldId="2" headerRowDxfId="207" dataDxfId="122"/>
    <tableColumn id="3" xr3:uid="{05B9DADF-67DE-41F4-9C64-3A866A58B9C6}" uniqueName="3" name="Column3" queryTableFieldId="3" headerRowDxfId="206" dataDxfId="121"/>
    <tableColumn id="4" xr3:uid="{3DA5E190-F38F-4E5D-A75D-906FC6930459}" uniqueName="4" name="Column4" queryTableFieldId="4" headerRowDxfId="205" dataDxfId="204"/>
    <tableColumn id="5" xr3:uid="{9323788F-FB18-4111-AF5A-07BF3226FD8A}" uniqueName="5" name="Column5" queryTableFieldId="5" headerRowDxfId="203" dataDxfId="120"/>
    <tableColumn id="6" xr3:uid="{C542225F-106E-46A6-AB27-83463214069B}" uniqueName="6" name="Column6" queryTableFieldId="6" headerRowDxfId="202" dataDxfId="201"/>
    <tableColumn id="7" xr3:uid="{FEF8A999-BA32-4E5F-9787-9ACB06222B4A}" uniqueName="7" name="Column7" queryTableFieldId="7" headerRowDxfId="200" dataDxfId="199"/>
    <tableColumn id="8" xr3:uid="{8441DE79-CC58-431C-B521-9DFE640BF116}" uniqueName="8" name="Column8" queryTableFieldId="8" headerRowDxfId="198" dataDxfId="119"/>
    <tableColumn id="9" xr3:uid="{FC11E21D-DA24-4F91-AAE1-DF49ED8B77A2}" uniqueName="9" name="Column9" queryTableFieldId="9" headerRowDxfId="197" dataDxfId="196"/>
    <tableColumn id="10" xr3:uid="{00C42EE6-7140-477C-88E1-EB30A0575615}" uniqueName="10" name="Column10" queryTableFieldId="10" headerRowDxfId="195" dataDxfId="118"/>
    <tableColumn id="11" xr3:uid="{C2C010B5-1125-4EFA-94FF-C5A93C80E6C8}" uniqueName="11" name="Column11" queryTableFieldId="11" headerRowDxfId="194" dataDxfId="117"/>
    <tableColumn id="12" xr3:uid="{790E098D-6F2F-4BAC-94E0-0A21A452251C}" uniqueName="12" name="Column12" queryTableFieldId="12" headerRowDxfId="193" dataDxfId="116"/>
    <tableColumn id="13" xr3:uid="{130310B9-91FF-42E4-831E-179CE30EE3DC}" uniqueName="13" name="Column13" queryTableFieldId="13" headerRowDxfId="192" dataDxfId="191"/>
    <tableColumn id="14" xr3:uid="{5C8C752F-2C91-4818-8CB8-0EB5AA5335BD}" uniqueName="14" name="Column14" queryTableFieldId="14" headerRowDxfId="190" dataDxfId="115"/>
    <tableColumn id="15" xr3:uid="{2EBADA6C-51CF-43CF-9167-0C8376F396C0}" uniqueName="15" name="Column15" queryTableFieldId="15" headerRowDxfId="189" dataDxfId="114"/>
    <tableColumn id="16" xr3:uid="{B3EC8824-3222-4AF0-A6BB-94E1A577E4CE}" uniqueName="16" name="Column16" queryTableFieldId="16" headerRowDxfId="188" dataDxfId="113"/>
    <tableColumn id="17" xr3:uid="{18ABAE21-4904-4732-83BC-DBE155F0B009}" uniqueName="17" name="Column17" queryTableFieldId="17" headerRowDxfId="187" dataDxfId="186"/>
  </tableColumns>
  <tableStyleInfo name="TableStyleMedium7"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TP_Prices" displayName="CTP_Prices" ref="F4:I19" totalsRowShown="0" headerRowDxfId="185" dataDxfId="183" headerRowBorderDxfId="184" tableBorderDxfId="182">
  <autoFilter ref="F4:I19" xr:uid="{00000000-0009-0000-0100-000006000000}">
    <filterColumn colId="0" hiddenButton="1"/>
    <filterColumn colId="1" hiddenButton="1"/>
    <filterColumn colId="2" hiddenButton="1"/>
    <filterColumn colId="3" hiddenButton="1"/>
  </autoFilter>
  <sortState xmlns:xlrd2="http://schemas.microsoft.com/office/spreadsheetml/2017/richdata2" ref="F5:H19">
    <sortCondition ref="F4:F19"/>
  </sortState>
  <tableColumns count="4">
    <tableColumn id="1" xr3:uid="{00000000-0010-0000-0A00-000001000000}" name="اسم المكتب" dataDxfId="181">
      <calculatedColumnFormula>IFERROR(مكاتب_الفصل[[#This Row],[Column2]],"")</calculatedColumnFormula>
    </tableColumn>
    <tableColumn id="2" xr3:uid="{00000000-0010-0000-0A00-000002000000}" name="مقاس الزنك" dataDxfId="180">
      <calculatedColumnFormula>IFERROR(مكاتب_الفصل[[#This Row],[Column3]],"")</calculatedColumnFormula>
    </tableColumn>
    <tableColumn id="3" xr3:uid="{00000000-0010-0000-0A00-000003000000}" name="سعر الزنك" dataDxfId="179">
      <calculatedColumnFormula>IFERROR(مكاتب_الفصل[[#This Row],[Column4]],"")</calculatedColumnFormula>
    </tableColumn>
    <tableColumn id="4" xr3:uid="{3D9F887C-F129-4327-B2F4-0D5709152D43}" name="تاريخ"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9925A41-45DF-439A-96AD-A8C34D69D374}" name="مكاتب_الفصل" displayName="مكاتب_الفصل" ref="A2:D20" tableType="queryTable" headerRowCount="0" totalsRowShown="0" headerRowDxfId="177" dataDxfId="176">
  <tableColumns count="4">
    <tableColumn id="1" xr3:uid="{D87A187C-1A7F-4720-BE67-B179D6226203}" uniqueName="1" name="Column1" queryTableFieldId="1" headerRowDxfId="175" dataDxfId="174"/>
    <tableColumn id="2" xr3:uid="{DD036B8A-BE1E-4B39-8336-33808989C01F}" uniqueName="2" name="Column2" queryTableFieldId="2" headerRowDxfId="173" dataDxfId="112"/>
    <tableColumn id="3" xr3:uid="{33DC2120-BDF5-4298-AD7D-8139A50B9E9B}" uniqueName="3" name="Column3" queryTableFieldId="3" headerRowDxfId="172" dataDxfId="111"/>
    <tableColumn id="4" xr3:uid="{CF126495-1F10-454E-9127-4AA3BD054417}" uniqueName="4" name="Column4" queryTableFieldId="4" headerRowDxfId="171" dataDxfId="110"/>
  </tableColumns>
  <tableStyleInfo name="TableStyleMedium7" showFirstColumn="0" showLastColumn="0" showRowStripes="0"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B000000}" name="Papers_Prices" displayName="Papers_Prices" ref="B2:L74" tableType="queryTable" totalsRowShown="0" headerRowDxfId="170" dataDxfId="169" tableBorderDxfId="168">
  <autoFilter ref="B2:L74" xr:uid="{00000000-000C-0000-FFFF-FFFF0B000000}"/>
  <tableColumns count="11">
    <tableColumn id="1" xr3:uid="{7739D2CD-BCF0-4263-B662-3EE104F9903F}" uniqueName="1" name="نوع الورق" queryTableFieldId="1" dataDxfId="167"/>
    <tableColumn id="2" xr3:uid="{BF5A5551-7C11-4750-8367-83D6633A9C50}" uniqueName="2" name="مقاس" queryTableFieldId="2" dataDxfId="166"/>
    <tableColumn id="3" xr3:uid="{F5541AE3-5E6C-4B87-B02E-DDC261886586}" uniqueName="3" name="جم" queryTableFieldId="3" dataDxfId="165"/>
    <tableColumn id="4" xr3:uid="{73649315-75F1-45EE-9B3B-E3941B3720BC}" uniqueName="4" name="بلد المنشأ" queryTableFieldId="4" dataDxfId="164"/>
    <tableColumn id="5" xr3:uid="{8087B951-B8B4-416F-A173-2C4DC191782C}" uniqueName="5" name="مخزن الورق" queryTableFieldId="5" dataDxfId="163"/>
    <tableColumn id="6" xr3:uid="{91E993A0-6A34-4885-80C5-8B6552B00A81}" uniqueName="6" name="السعر بتاريخ" queryTableFieldId="6" dataDxfId="162"/>
    <tableColumn id="7" xr3:uid="{449E608D-BC31-45B9-980B-634C6A2EA6DB}" uniqueName="7" name="سعر الفرخ" queryTableFieldId="7" dataDxfId="161"/>
    <tableColumn id="8" xr3:uid="{FB199DAE-D036-4A41-B84F-69CDE7EB1A9F}" uniqueName="8" name="سعر فرق الورق" queryTableFieldId="8" dataDxfId="160"/>
    <tableColumn id="9" xr3:uid="{FBC1DF9B-3B5F-47BE-BB38-7494A586C945}" uniqueName="9" name="مكربن أول" queryTableFieldId="9" dataDxfId="159"/>
    <tableColumn id="10" xr3:uid="{30356E7B-F63B-4302-97D3-3F6A10431ADF}" uniqueName="10" name="مكربن وسط" queryTableFieldId="10" dataDxfId="158"/>
    <tableColumn id="11" xr3:uid="{DCDCBE2A-6386-453A-856B-F51D4A66B80E}" uniqueName="11" name="مكربن أخير" queryTableFieldId="11" dataDxfId="157"/>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C000000}" name="Papers_Sheet" displayName="Papers_Sheet" ref="N3:Q25" tableType="queryTable" totalsRowShown="0" headerRowDxfId="156" dataDxfId="154" headerRowBorderDxfId="155" tableBorderDxfId="153">
  <autoFilter ref="N3:Q25" xr:uid="{00000000-0009-0000-0100-000009000000}">
    <filterColumn colId="0" hiddenButton="1"/>
    <filterColumn colId="1" hiddenButton="1"/>
    <filterColumn colId="2" hiddenButton="1"/>
    <filterColumn colId="3" hiddenButton="1"/>
  </autoFilter>
  <tableColumns count="4">
    <tableColumn id="6" xr3:uid="{00000000-0010-0000-0C00-000006000000}" uniqueName="6" name="بلد المنشأ" queryTableFieldId="8" dataDxfId="3"/>
    <tableColumn id="7" xr3:uid="{00000000-0010-0000-0C00-000007000000}" uniqueName="7" name="نوع الورق" queryTableFieldId="9" dataDxfId="2"/>
    <tableColumn id="8" xr3:uid="{00000000-0010-0000-0C00-000008000000}" uniqueName="8" name="جم" queryTableFieldId="10" dataDxfId="1"/>
    <tableColumn id="9" xr3:uid="{00000000-0010-0000-0C00-000009000000}" uniqueName="9" name="مخزن الورق" queryTableFieldId="11" dataDxfId="0"/>
  </tableColumns>
  <tableStyleInfo name="TableStyleMedium7" showFirstColumn="0" showLastColumn="0" showRowStripes="0"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781F70C-56D3-4C3F-BF06-63E68CF7B34B}" name="Data" displayName="Data" ref="A2:O14" tableType="queryTable" headerRowCount="0" totalsRowShown="0" headerRowDxfId="152" dataDxfId="151" tableBorderDxfId="150">
  <tableColumns count="15">
    <tableColumn id="1" xr3:uid="{A3D619BA-B9B8-4F8F-AA89-28A159298914}" uniqueName="1" name="Column1" queryTableFieldId="1" headerRowDxfId="149" dataDxfId="18"/>
    <tableColumn id="2" xr3:uid="{8EB723A5-A743-43FB-8E85-76F63B7A8EFF}" uniqueName="2" name="Column2" queryTableFieldId="2" headerRowDxfId="148" dataDxfId="17"/>
    <tableColumn id="3" xr3:uid="{80253CCF-9D01-4C36-B3BA-9B39C42B03CB}" uniqueName="3" name="Column3" queryTableFieldId="3" headerRowDxfId="147" dataDxfId="16"/>
    <tableColumn id="4" xr3:uid="{0C75FD8B-670A-4244-A330-A3C797600009}" uniqueName="4" name="Column4" queryTableFieldId="4" headerRowDxfId="146" dataDxfId="15"/>
    <tableColumn id="5" xr3:uid="{E10E0674-09C0-4DEE-9679-51FFDAC67042}" uniqueName="5" name="Column5" queryTableFieldId="5" headerRowDxfId="145" dataDxfId="14"/>
    <tableColumn id="6" xr3:uid="{4284F0E8-8D22-4689-9F3B-0D4BC554358D}" uniqueName="6" name="Column6" queryTableFieldId="6" headerRowDxfId="144" dataDxfId="13"/>
    <tableColumn id="7" xr3:uid="{C04E13AF-8887-45E1-B224-784795080BBD}" uniqueName="7" name="Column7" queryTableFieldId="7" headerRowDxfId="143" dataDxfId="12"/>
    <tableColumn id="8" xr3:uid="{82EE6DEA-453E-47C8-B94A-51AC89C1BBC1}" uniqueName="8" name="Column8" queryTableFieldId="8" headerRowDxfId="142" dataDxfId="11"/>
    <tableColumn id="9" xr3:uid="{D9B34D72-1085-4BEB-9B16-BAFEB8F369E8}" uniqueName="9" name="Column9" queryTableFieldId="9" headerRowDxfId="141" dataDxfId="10"/>
    <tableColumn id="10" xr3:uid="{CFD3F853-F04C-4CCB-9959-F61D0BFF17F5}" uniqueName="10" name="Column10" queryTableFieldId="10" headerRowDxfId="140" dataDxfId="9"/>
    <tableColumn id="11" xr3:uid="{B5D996A3-A6CA-4EF6-B8E3-E13CBE79367F}" uniqueName="11" name="Column11" queryTableFieldId="11" headerRowDxfId="139" dataDxfId="8"/>
    <tableColumn id="12" xr3:uid="{C7BDF511-EB5E-4BB3-8C37-0CF0B7F97470}" uniqueName="12" name="Column12" queryTableFieldId="12" headerRowDxfId="138" dataDxfId="7"/>
    <tableColumn id="13" xr3:uid="{A6378117-B1CB-48AB-9F4A-705E6F0D2BEA}" uniqueName="13" name="Column13" queryTableFieldId="13" headerRowDxfId="137" dataDxfId="6"/>
    <tableColumn id="14" xr3:uid="{C950C95C-4793-42C0-894F-7C0CCCF6D8A3}" uniqueName="14" name="Column14" queryTableFieldId="14" headerRowDxfId="136" dataDxfId="5"/>
    <tableColumn id="15" xr3:uid="{C44383CE-F9FE-4EAA-B76C-7125F0B67842}" uniqueName="15" name="Column15" queryTableFieldId="15" headerRowDxfId="135" dataDxfId="4"/>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34"/>
  <sheetViews>
    <sheetView showZeros="0" rightToLeft="1" tabSelected="1" zoomScaleNormal="100" workbookViewId="0">
      <selection activeCell="M6" sqref="M6"/>
    </sheetView>
  </sheetViews>
  <sheetFormatPr defaultColWidth="9" defaultRowHeight="14.25" x14ac:dyDescent="0.2"/>
  <cols>
    <col min="1" max="1" width="3.25" style="1" customWidth="1"/>
    <col min="2" max="2" width="10" style="1" customWidth="1"/>
    <col min="3" max="3" width="7.25" style="1" customWidth="1"/>
    <col min="4" max="4" width="10.875" style="1" customWidth="1"/>
    <col min="5" max="5" width="9.375" style="1" customWidth="1"/>
    <col min="6" max="6" width="6.875" style="1" customWidth="1"/>
    <col min="7" max="7" width="8.375" style="1" customWidth="1"/>
    <col min="8" max="8" width="13.875" style="1" customWidth="1"/>
    <col min="9" max="9" width="10.625" style="1" customWidth="1"/>
    <col min="10" max="10" width="9.625" style="1" bestFit="1" customWidth="1"/>
    <col min="11" max="11" width="12" style="1" customWidth="1"/>
    <col min="12" max="12" width="5.25" style="1" customWidth="1"/>
    <col min="13" max="13" width="3.25" style="1" customWidth="1"/>
    <col min="14" max="14" width="5.375" style="1" customWidth="1"/>
    <col min="15" max="15" width="6.625" style="1" customWidth="1"/>
    <col min="16" max="16" width="9.375" style="1" bestFit="1" customWidth="1"/>
    <col min="17" max="17" width="3" style="1" customWidth="1"/>
    <col min="18" max="18" width="9.375" style="1" bestFit="1" customWidth="1"/>
    <col min="19" max="19" width="7.25" style="1" customWidth="1"/>
    <col min="20" max="20" width="8.875" style="1" customWidth="1"/>
    <col min="21" max="21" width="4.75" style="1" customWidth="1"/>
    <col min="22" max="23" width="7.625" style="1" customWidth="1"/>
    <col min="24" max="24" width="8.25" style="1" customWidth="1"/>
    <col min="25" max="25" width="7.625" style="38" customWidth="1"/>
    <col min="26" max="26" width="8.375" style="38" hidden="1" customWidth="1"/>
    <col min="27" max="27" width="7" style="38" customWidth="1"/>
    <col min="28" max="28" width="11" style="38" customWidth="1"/>
    <col min="29" max="29" width="7.625" style="38" customWidth="1"/>
    <col min="30" max="16384" width="9" style="1"/>
  </cols>
  <sheetData>
    <row r="1" spans="1:24" ht="9.75" customHeight="1" thickBot="1" x14ac:dyDescent="0.25">
      <c r="A1" s="42"/>
      <c r="B1" s="41" t="str">
        <f ca="1">MID(CELL("filename",A1),FIND("[",CELL("filename",A1))+1,FIND("]", CELL("filename",A1))-FIND("[",CELL("filename",A1))-1)</f>
        <v>Pricing 2024.xlsm</v>
      </c>
      <c r="C1" s="41" t="s">
        <v>263</v>
      </c>
      <c r="D1" s="42" t="s">
        <v>329</v>
      </c>
      <c r="E1" s="41" t="s">
        <v>38</v>
      </c>
      <c r="F1" s="43">
        <f>IF(P5="طولي",MAX(M5:O5),MIN(M5:O5))</f>
        <v>6</v>
      </c>
      <c r="G1" s="41" t="s">
        <v>39</v>
      </c>
      <c r="H1" s="43">
        <f>IF(P5="طولي",MIN(M5:O5),MAX(M5:O5))</f>
        <v>10</v>
      </c>
      <c r="I1" s="42"/>
      <c r="J1" s="42"/>
      <c r="K1" s="41" t="s">
        <v>2</v>
      </c>
      <c r="L1" s="44" t="b">
        <v>0</v>
      </c>
      <c r="M1" s="42"/>
      <c r="N1" s="42"/>
      <c r="O1" s="41" t="s">
        <v>48</v>
      </c>
      <c r="P1" s="44" t="b">
        <v>0</v>
      </c>
      <c r="Q1" s="42"/>
      <c r="R1" s="42"/>
      <c r="S1" s="45"/>
      <c r="T1" s="45"/>
      <c r="U1" s="45"/>
      <c r="V1" s="45"/>
    </row>
    <row r="2" spans="1:24" ht="18.75" thickBot="1" x14ac:dyDescent="0.25">
      <c r="B2" s="2" t="s">
        <v>0</v>
      </c>
      <c r="C2" s="40"/>
      <c r="E2" s="536" t="s">
        <v>1</v>
      </c>
      <c r="F2" s="482"/>
      <c r="G2" s="482"/>
      <c r="H2" s="482"/>
      <c r="I2" s="482"/>
      <c r="J2" s="482"/>
      <c r="K2" s="482"/>
      <c r="L2" s="482"/>
      <c r="M2" s="482"/>
      <c r="N2" s="482"/>
      <c r="O2" s="482"/>
      <c r="P2" s="483"/>
      <c r="R2" s="3" t="s">
        <v>2</v>
      </c>
      <c r="T2" s="4" t="s">
        <v>3</v>
      </c>
    </row>
    <row r="3" spans="1:24" ht="9.75" customHeight="1" thickBot="1" x14ac:dyDescent="0.25"/>
    <row r="4" spans="1:24" ht="15" customHeight="1" x14ac:dyDescent="0.2">
      <c r="B4" s="552" t="s">
        <v>6</v>
      </c>
      <c r="C4" s="554"/>
      <c r="E4" s="552" t="s">
        <v>7</v>
      </c>
      <c r="F4" s="553"/>
      <c r="G4" s="554"/>
      <c r="I4" s="5" t="s">
        <v>8</v>
      </c>
      <c r="J4" s="439" t="s">
        <v>9</v>
      </c>
      <c r="K4" s="555" t="s">
        <v>10</v>
      </c>
      <c r="L4" s="556"/>
      <c r="M4" s="557" t="s">
        <v>5</v>
      </c>
      <c r="N4" s="558"/>
      <c r="O4" s="6" t="s">
        <v>331</v>
      </c>
      <c r="P4" s="438" t="s">
        <v>11</v>
      </c>
      <c r="R4" s="552" t="s">
        <v>12</v>
      </c>
      <c r="S4" s="553"/>
      <c r="T4" s="554"/>
    </row>
    <row r="5" spans="1:24" ht="24.95" customHeight="1" thickBot="1" x14ac:dyDescent="0.25">
      <c r="B5" s="559">
        <v>46029</v>
      </c>
      <c r="C5" s="560"/>
      <c r="E5" s="561" t="s">
        <v>330</v>
      </c>
      <c r="F5" s="562"/>
      <c r="G5" s="563"/>
      <c r="I5" s="7">
        <v>6000</v>
      </c>
      <c r="J5" s="8"/>
      <c r="K5" s="564"/>
      <c r="L5" s="565"/>
      <c r="M5" s="566">
        <v>10</v>
      </c>
      <c r="N5" s="567"/>
      <c r="O5" s="441">
        <v>6</v>
      </c>
      <c r="P5" s="9" t="s">
        <v>332</v>
      </c>
      <c r="R5" s="568"/>
      <c r="S5" s="569"/>
      <c r="T5" s="570"/>
    </row>
    <row r="6" spans="1:24" ht="15" thickBot="1" x14ac:dyDescent="0.25">
      <c r="L6"/>
      <c r="M6"/>
      <c r="N6"/>
      <c r="O6"/>
      <c r="P6"/>
    </row>
    <row r="7" spans="1:24" ht="18.75" thickBot="1" x14ac:dyDescent="0.25">
      <c r="B7" s="536" t="s">
        <v>16</v>
      </c>
      <c r="C7" s="482"/>
      <c r="D7" s="482"/>
      <c r="E7" s="482"/>
      <c r="F7" s="482"/>
      <c r="G7" s="482"/>
      <c r="H7" s="482"/>
      <c r="I7" s="482"/>
      <c r="J7" s="482"/>
      <c r="K7" s="482"/>
      <c r="L7" s="482"/>
      <c r="M7" s="482"/>
      <c r="N7" s="482"/>
      <c r="O7" s="482"/>
      <c r="P7" s="482"/>
      <c r="Q7" s="482"/>
      <c r="R7" s="482"/>
      <c r="S7" s="482"/>
      <c r="T7" s="483"/>
      <c r="V7" s="546" t="s">
        <v>17</v>
      </c>
      <c r="W7" s="547"/>
      <c r="X7" s="548"/>
    </row>
    <row r="8" spans="1:24" ht="7.5" customHeight="1" thickBot="1" x14ac:dyDescent="0.25">
      <c r="V8" s="549"/>
      <c r="W8" s="550"/>
      <c r="X8" s="551"/>
    </row>
    <row r="9" spans="1:24" ht="15" customHeight="1" x14ac:dyDescent="0.2">
      <c r="B9" s="527" t="s">
        <v>20</v>
      </c>
      <c r="C9" s="510"/>
      <c r="D9" s="529" t="s">
        <v>21</v>
      </c>
      <c r="E9" s="529" t="s">
        <v>22</v>
      </c>
      <c r="F9" s="531" t="s">
        <v>23</v>
      </c>
      <c r="G9" s="532"/>
      <c r="H9" s="533" t="s">
        <v>24</v>
      </c>
      <c r="I9" s="534"/>
      <c r="J9" s="535"/>
      <c r="K9" s="512" t="s">
        <v>25</v>
      </c>
      <c r="L9" s="510"/>
      <c r="M9" s="512" t="s">
        <v>26</v>
      </c>
      <c r="N9" s="510"/>
      <c r="O9" s="529" t="s">
        <v>27</v>
      </c>
      <c r="P9" s="514" t="s">
        <v>28</v>
      </c>
      <c r="R9" s="516" t="s">
        <v>29</v>
      </c>
      <c r="S9" s="512" t="s">
        <v>30</v>
      </c>
      <c r="T9" s="514"/>
      <c r="V9" s="390"/>
      <c r="W9" s="391"/>
      <c r="X9" s="392"/>
    </row>
    <row r="10" spans="1:24" ht="15" customHeight="1" x14ac:dyDescent="0.2">
      <c r="B10" s="528"/>
      <c r="C10" s="511"/>
      <c r="D10" s="530"/>
      <c r="E10" s="530"/>
      <c r="F10" s="11" t="s">
        <v>32</v>
      </c>
      <c r="G10" s="12" t="s">
        <v>33</v>
      </c>
      <c r="H10" s="518" t="s">
        <v>34</v>
      </c>
      <c r="I10" s="519"/>
      <c r="J10" s="13" t="s">
        <v>35</v>
      </c>
      <c r="K10" s="513"/>
      <c r="L10" s="511"/>
      <c r="M10" s="513"/>
      <c r="N10" s="511"/>
      <c r="O10" s="530"/>
      <c r="P10" s="515"/>
      <c r="R10" s="517"/>
      <c r="S10" s="513"/>
      <c r="T10" s="515"/>
      <c r="V10" s="390"/>
      <c r="W10" s="391"/>
      <c r="X10" s="392"/>
    </row>
    <row r="11" spans="1:24" ht="24.95" customHeight="1" thickBot="1" x14ac:dyDescent="0.25">
      <c r="B11" s="520" t="s">
        <v>333</v>
      </c>
      <c r="C11" s="521"/>
      <c r="D11" s="14" t="str">
        <f>IF(B11="أوفست",'تسعير أوفست'!I13,IF(B11="ديجيتال",'تسعير ديجيتال'!$D$13,0))</f>
        <v>الشامي</v>
      </c>
      <c r="E11" s="15" t="str">
        <f>IF(B11="أوفست",'تسعير أوفست'!K4,IF(B11="ديجيتال",'تسعير ديجيتال'!M6,0))</f>
        <v>طبع وقلب</v>
      </c>
      <c r="F11" s="16">
        <f>IF(B11="أوفست",'تسعير أوفست'!L5,0)</f>
        <v>4</v>
      </c>
      <c r="G11" s="17">
        <f>IF(B11="أوفست",'تسعير أوفست'!M5,0)</f>
        <v>0</v>
      </c>
      <c r="H11" s="522" t="str">
        <f>IF(OR('تسعير أوفست'!G17&gt;0,'تسعير ديجيتال'!E18&gt;0),IF(B11="أوفست",CONCATENATE('تسعير أوفست'!G17," فرخ ",'تسعير أوفست'!B17," ",'تسعير أوفست'!D17,"جم"),IF(B11="ديجيتال",CONCATENATE('تسعير ديجيتال'!E18," فرخ ",'تسعير ديجيتال'!B18," ",'تسعير ديجيتال'!C18,"جم"),0)),"--")</f>
        <v>75 فرخ كوشيه 300جم</v>
      </c>
      <c r="I11" s="523"/>
      <c r="J11" s="18" t="str">
        <f>IF(H11="--","--",IF(B11="أوفست",'تسعير أوفست'!F17,IF(B11="ديجيتال",'تسعير ديجيتال'!D18,0)))</f>
        <v>أبو شوشة</v>
      </c>
      <c r="K11" s="544" t="str">
        <f>IF('تسعير أوفست'!B21&lt;&gt;"",'تسعير أوفست'!B21,IF(B11="ديجيتال",IF('تسعير ديجيتال'!K12&lt;&gt;"",'تسعير ديجيتال'!K12,"لا"),"لا"))</f>
        <v>س. مط وجهين</v>
      </c>
      <c r="L11" s="545"/>
      <c r="M11" s="544" t="str">
        <f>IF(H11&lt;&gt;"--",IF(B11="أوفست",IF('تسعير أوفست'!D21&gt;0,"نعم","لا"),IF(B11="ديجيتال",IF('تسعير ديجيتال'!M12&gt;0,"نعم","لا"),0)),"")</f>
        <v>لا</v>
      </c>
      <c r="N11" s="545"/>
      <c r="O11" s="19" t="str">
        <f>IF(B11="أوفست",IF('تسعير أوفست'!I21&gt;0,"نعم","لا"),"لا")</f>
        <v>لا</v>
      </c>
      <c r="P11" s="20" t="str">
        <f>IF(H11&lt;&gt;"--",IF(B11="أوفست",IF('تسعير أوفست'!G21&gt;0,"نعم","لا"),0),"")</f>
        <v>لا</v>
      </c>
      <c r="R11" s="21">
        <f>IFERROR(IF(B11="أوفست",'تسعير أوفست'!O8,IF(B11="ديجيتال",'تسعير ديجيتال'!Q6,0)),"ادخل العدد")</f>
        <v>0.34799999999999998</v>
      </c>
      <c r="S11" s="508">
        <f>IF(B11="أوفست",'تسعير أوفست'!O12,IF(B11="ديجيتال",'تسعير ديجيتال'!Q11,0))</f>
        <v>2088</v>
      </c>
      <c r="T11" s="509"/>
      <c r="V11" s="390"/>
      <c r="W11" s="391"/>
      <c r="X11" s="392"/>
    </row>
    <row r="12" spans="1:24" ht="12" hidden="1" customHeight="1" thickBot="1" x14ac:dyDescent="0.25">
      <c r="V12" s="390"/>
      <c r="W12" s="391"/>
      <c r="X12" s="392"/>
    </row>
    <row r="13" spans="1:24" ht="18.75" hidden="1" thickBot="1" x14ac:dyDescent="0.25">
      <c r="B13" s="536" t="s">
        <v>41</v>
      </c>
      <c r="C13" s="482"/>
      <c r="D13" s="482"/>
      <c r="E13" s="482"/>
      <c r="F13" s="482"/>
      <c r="G13" s="482"/>
      <c r="H13" s="482"/>
      <c r="I13" s="482"/>
      <c r="J13" s="483"/>
      <c r="K13" s="222" t="s">
        <v>42</v>
      </c>
      <c r="L13" s="537" t="str">
        <f>IF(AND(L17&lt;&gt;"",ISNUMBER(SEARCH(" ",L17))),IF(ISNUMBER(SEARCH("دبوس",L17)),P17,P17/2),"")</f>
        <v/>
      </c>
      <c r="M13" s="538"/>
      <c r="N13" s="539" t="s">
        <v>43</v>
      </c>
      <c r="O13" s="540"/>
      <c r="P13" s="223" t="str">
        <f>IF(AND(L17&lt;&gt;"",ISNUMBER(SEARCH(" ",L17))),IF(ISNUMBER(SEARCH("دبوس",L17)),P17*2,P17),"")</f>
        <v/>
      </c>
      <c r="Q13" s="539" t="s">
        <v>44</v>
      </c>
      <c r="R13" s="541"/>
      <c r="S13" s="542" t="str">
        <f>IF(AND(L17&lt;&gt;"",ISNUMBER(SEARCH(" ",L17))),IF(ISNUMBER(SEARCH("دبوس",L17)),IF(OR(E17="وجهين",E17="طبع وقلب"),IF(OR(E11="وجهين",E11="طبع وقلب"),(P17*4)+2,P17*4),"خطأ دبوس وجه واحد"),IF(OR(E17="وجهين",E17="طبع وقلب"),IF(OR(E11="وجهين",E11="طبع وقلب"),(P17*2)+2,P17*2),P17)),"")</f>
        <v/>
      </c>
      <c r="T13" s="543"/>
      <c r="V13" s="390"/>
      <c r="W13" s="391"/>
      <c r="X13" s="392"/>
    </row>
    <row r="14" spans="1:24" ht="7.5" hidden="1" customHeight="1" thickBot="1" x14ac:dyDescent="0.25">
      <c r="V14" s="393"/>
      <c r="W14" s="394"/>
      <c r="X14" s="395"/>
    </row>
    <row r="15" spans="1:24" ht="14.25" hidden="1" customHeight="1" x14ac:dyDescent="0.2">
      <c r="B15" s="527" t="s">
        <v>20</v>
      </c>
      <c r="C15" s="510"/>
      <c r="D15" s="529" t="s">
        <v>21</v>
      </c>
      <c r="E15" s="529" t="s">
        <v>22</v>
      </c>
      <c r="F15" s="531" t="s">
        <v>23</v>
      </c>
      <c r="G15" s="532"/>
      <c r="H15" s="533" t="s">
        <v>24</v>
      </c>
      <c r="I15" s="534"/>
      <c r="J15" s="535"/>
      <c r="K15" s="510" t="s">
        <v>25</v>
      </c>
      <c r="L15" s="512" t="s">
        <v>45</v>
      </c>
      <c r="M15" s="510"/>
      <c r="N15" s="512" t="s">
        <v>46</v>
      </c>
      <c r="O15" s="510"/>
      <c r="P15" s="514" t="s">
        <v>47</v>
      </c>
      <c r="R15" s="516" t="s">
        <v>29</v>
      </c>
      <c r="S15" s="512" t="s">
        <v>30</v>
      </c>
      <c r="T15" s="514"/>
      <c r="V15" s="396"/>
      <c r="W15" s="388"/>
      <c r="X15" s="397"/>
    </row>
    <row r="16" spans="1:24" ht="14.25" hidden="1" customHeight="1" x14ac:dyDescent="0.2">
      <c r="B16" s="528"/>
      <c r="C16" s="511"/>
      <c r="D16" s="530"/>
      <c r="E16" s="530"/>
      <c r="F16" s="11" t="s">
        <v>32</v>
      </c>
      <c r="G16" s="12" t="s">
        <v>33</v>
      </c>
      <c r="H16" s="518" t="s">
        <v>34</v>
      </c>
      <c r="I16" s="519"/>
      <c r="J16" s="13" t="s">
        <v>35</v>
      </c>
      <c r="K16" s="511"/>
      <c r="L16" s="513"/>
      <c r="M16" s="511"/>
      <c r="N16" s="513"/>
      <c r="O16" s="511"/>
      <c r="P16" s="515"/>
      <c r="R16" s="517"/>
      <c r="S16" s="513"/>
      <c r="T16" s="515"/>
      <c r="V16" s="396"/>
      <c r="W16" s="388"/>
      <c r="X16" s="397"/>
    </row>
    <row r="17" spans="2:26" ht="24.95" hidden="1" customHeight="1" thickBot="1" x14ac:dyDescent="0.25">
      <c r="B17" s="520"/>
      <c r="C17" s="521"/>
      <c r="D17" s="14">
        <f>IF(B17="أوفست",'تسعير أوفست داخلي'!I13,IF(B17="ديجيتال",'تسعير ديجيتال داخلي'!$D$13,0))</f>
        <v>0</v>
      </c>
      <c r="E17" s="15">
        <f>IF(B17="أوفست",'تسعير أوفست داخلي'!K4,IF(B17="ديجيتال",'تسعير ديجيتال داخلي'!M6,0))</f>
        <v>0</v>
      </c>
      <c r="F17" s="16">
        <f>IF(B17="أوفست",'تسعير أوفست داخلي'!L5,0)</f>
        <v>0</v>
      </c>
      <c r="G17" s="17">
        <f>IF(B17="أوفست",'تسعير أوفست داخلي'!M5,0)</f>
        <v>0</v>
      </c>
      <c r="H17" s="522">
        <f>IF(OR('تسعير أوفست'!G17&gt;0,'تسعير ديجيتال'!E18&gt;0),IF(B17="أوفست",CONCATENATE('تسعير أوفست داخلي'!G17," فرخ ",'تسعير أوفست داخلي'!B17," ",'تسعير أوفست داخلي'!D17,"جم"),IF(B17="ديجيتال",CONCATENATE('تسعير ديجيتال داخلي'!E18," فرخ ",'تسعير ديجيتال داخلي'!B18," ",'تسعير ديجيتال داخلي'!C18,"جم"),0)),"--")</f>
        <v>0</v>
      </c>
      <c r="I17" s="523"/>
      <c r="J17" s="22">
        <f>IF(H17="--","--",IF(B17="أوفست",'تسعير أوفست داخلي'!F17,IF(B17="ديجيتال",'تسعير ديجيتال داخلي'!D18,0)))</f>
        <v>0</v>
      </c>
      <c r="K17" s="23" t="str">
        <f>IF(B17="أوفست",'تسعير أوفست داخلي'!B21,IF(B17="ديجيتال",IF('تسعير ديجيتال داخلي'!K12&lt;&gt;"",'تسعير ديجيتال داخلي'!K12,"لا"),""))</f>
        <v/>
      </c>
      <c r="L17" s="524">
        <f>IF(B17="أوفست",'تسعير أوفست داخلي'!H21,0)</f>
        <v>0</v>
      </c>
      <c r="M17" s="525"/>
      <c r="N17" s="526"/>
      <c r="O17" s="521"/>
      <c r="P17" s="24"/>
      <c r="R17" s="25">
        <f>IF(B17="أوفست",'تسعير أوفست داخلي'!O8,IF(B17="ديجيتال",'تسعير ديجيتال داخلي'!Q6,0))</f>
        <v>0</v>
      </c>
      <c r="S17" s="508">
        <f>IF(B17="أوفست",IF(ISNUMBER('تسعير أوفست داخلي'!O12),'تسعير أوفست داخلي'!O12,0),IF(B17="ديجيتال",IF(ISNUMBER('تسعير ديجيتال داخلي'!Q11),'تسعير ديجيتال داخلي'!Q11,0),0))</f>
        <v>0</v>
      </c>
      <c r="T17" s="509"/>
      <c r="V17" s="396"/>
      <c r="W17" s="388"/>
      <c r="X17" s="397"/>
    </row>
    <row r="18" spans="2:26" ht="15" thickBot="1" x14ac:dyDescent="0.25">
      <c r="V18" s="396"/>
      <c r="W18" s="388"/>
      <c r="X18" s="397"/>
    </row>
    <row r="19" spans="2:26" ht="18.75" thickBot="1" x14ac:dyDescent="0.25">
      <c r="B19" s="477" t="s">
        <v>49</v>
      </c>
      <c r="C19" s="478"/>
      <c r="D19" s="479"/>
      <c r="E19" s="480"/>
      <c r="F19" s="480"/>
      <c r="G19" s="481"/>
      <c r="H19" s="482" t="s">
        <v>50</v>
      </c>
      <c r="I19" s="482"/>
      <c r="J19" s="482"/>
      <c r="K19" s="482"/>
      <c r="L19" s="483"/>
      <c r="M19"/>
      <c r="N19"/>
      <c r="O19"/>
      <c r="Q19"/>
      <c r="R19" s="26" t="s">
        <v>51</v>
      </c>
      <c r="S19" s="484">
        <v>46204.655277777776</v>
      </c>
      <c r="T19" s="485"/>
      <c r="V19" s="398"/>
      <c r="W19" s="399"/>
      <c r="X19" s="400"/>
    </row>
    <row r="20" spans="2:26" ht="7.5" customHeight="1" thickBot="1" x14ac:dyDescent="0.25">
      <c r="V20" s="401"/>
      <c r="W20" s="389"/>
      <c r="X20" s="402"/>
    </row>
    <row r="21" spans="2:26" ht="15.75" thickBot="1" x14ac:dyDescent="0.25">
      <c r="B21" s="486" t="s">
        <v>52</v>
      </c>
      <c r="C21" s="488" t="s">
        <v>53</v>
      </c>
      <c r="D21" s="489"/>
      <c r="E21" s="27" t="s">
        <v>54</v>
      </c>
      <c r="F21" s="28" t="s">
        <v>55</v>
      </c>
      <c r="H21" s="486" t="s">
        <v>4</v>
      </c>
      <c r="I21" s="491" t="s">
        <v>56</v>
      </c>
      <c r="J21" s="492"/>
      <c r="K21" s="491" t="s">
        <v>57</v>
      </c>
      <c r="L21" s="493"/>
      <c r="N21" s="494" t="s">
        <v>58</v>
      </c>
      <c r="O21" s="495"/>
      <c r="P21" s="495"/>
      <c r="Q21" s="495"/>
      <c r="R21" s="495"/>
      <c r="S21" s="495"/>
      <c r="T21" s="496"/>
      <c r="V21" s="396"/>
      <c r="W21" s="388"/>
      <c r="X21" s="397"/>
    </row>
    <row r="22" spans="2:26" ht="16.5" customHeight="1" thickBot="1" x14ac:dyDescent="0.25">
      <c r="B22" s="487"/>
      <c r="C22" s="497"/>
      <c r="D22" s="498"/>
      <c r="E22" s="31">
        <f>IFERROR(F22/IF(S11&gt;0,B26+IF(K22="خسارة",-I22,0),0),0)</f>
        <v>0</v>
      </c>
      <c r="F22" s="32"/>
      <c r="H22" s="490"/>
      <c r="I22" s="499"/>
      <c r="J22" s="500"/>
      <c r="K22" s="501"/>
      <c r="L22" s="502"/>
      <c r="N22" s="503" t="s">
        <v>59</v>
      </c>
      <c r="O22" s="504"/>
      <c r="P22" s="505" t="s">
        <v>60</v>
      </c>
      <c r="Q22" s="506"/>
      <c r="R22" s="506"/>
      <c r="S22" s="505" t="s">
        <v>61</v>
      </c>
      <c r="T22" s="507"/>
      <c r="U22"/>
      <c r="V22" s="398"/>
      <c r="W22" s="399"/>
      <c r="X22" s="400"/>
      <c r="Y22"/>
      <c r="Z22" s="39">
        <v>2</v>
      </c>
    </row>
    <row r="23" spans="2:26" ht="15.75" customHeight="1" thickBot="1" x14ac:dyDescent="0.25">
      <c r="N23" s="444"/>
      <c r="O23" s="445"/>
      <c r="P23" s="468"/>
      <c r="Q23" s="469"/>
      <c r="R23" s="470"/>
      <c r="S23" s="442">
        <f>'حسابات الموردين'!G3</f>
        <v>0</v>
      </c>
      <c r="T23" s="443"/>
      <c r="U23"/>
      <c r="V23"/>
      <c r="W23"/>
      <c r="X23"/>
      <c r="Y23"/>
    </row>
    <row r="24" spans="2:26" ht="15" customHeight="1" thickBot="1" x14ac:dyDescent="0.25">
      <c r="B24" s="471" t="s">
        <v>62</v>
      </c>
      <c r="C24" s="33"/>
      <c r="D24" s="473" t="s">
        <v>63</v>
      </c>
      <c r="E24" s="474"/>
      <c r="F24" s="475"/>
      <c r="H24" s="34" t="s">
        <v>30</v>
      </c>
      <c r="J24" s="473" t="s">
        <v>64</v>
      </c>
      <c r="K24" s="474"/>
      <c r="L24" s="475"/>
      <c r="N24" s="444"/>
      <c r="O24" s="445"/>
      <c r="P24" s="446"/>
      <c r="Q24" s="447"/>
      <c r="R24" s="448"/>
      <c r="S24" s="442">
        <f>'حسابات الموردين'!G4</f>
        <v>0</v>
      </c>
      <c r="T24" s="443"/>
      <c r="U24"/>
      <c r="V24"/>
      <c r="W24"/>
      <c r="X24"/>
      <c r="Y24"/>
    </row>
    <row r="25" spans="2:26" ht="15.75" thickBot="1" x14ac:dyDescent="0.25">
      <c r="B25" s="472"/>
      <c r="C25" s="33"/>
      <c r="D25" s="466" t="s">
        <v>56</v>
      </c>
      <c r="E25" s="476"/>
      <c r="F25" s="35" t="s">
        <v>65</v>
      </c>
      <c r="H25" s="463">
        <f>S11+S17</f>
        <v>2088</v>
      </c>
      <c r="J25" s="36" t="s">
        <v>66</v>
      </c>
      <c r="K25" s="466" t="s">
        <v>67</v>
      </c>
      <c r="L25" s="467"/>
      <c r="N25" s="444"/>
      <c r="O25" s="445"/>
      <c r="P25" s="446"/>
      <c r="Q25" s="447"/>
      <c r="R25" s="448"/>
      <c r="S25" s="442">
        <f>'حسابات الموردين'!G5</f>
        <v>0</v>
      </c>
      <c r="T25" s="443"/>
      <c r="U25"/>
      <c r="V25"/>
      <c r="W25"/>
      <c r="X25"/>
      <c r="Y25"/>
    </row>
    <row r="26" spans="2:26" ht="15" customHeight="1" x14ac:dyDescent="0.2">
      <c r="B26" s="449"/>
      <c r="C26" s="33"/>
      <c r="D26" s="451">
        <f>IF(S11&gt;0,B26+IF(K22="خسارة",-I22,0),0)-F22</f>
        <v>0</v>
      </c>
      <c r="E26" s="452"/>
      <c r="F26" s="455">
        <f>IFERROR(IF(D26=0,0,D26/H25),0)</f>
        <v>0</v>
      </c>
      <c r="H26" s="464"/>
      <c r="J26" s="457">
        <f>IFERROR(IF(K26&lt;&gt;"",K26/I5,0),0)</f>
        <v>0</v>
      </c>
      <c r="K26" s="459">
        <f>IF(D26&lt;&gt;0,S11+S17+IF(K22="خصم",-I22,IF(K22="ربح",I22,0))+D26+F22,0)</f>
        <v>0</v>
      </c>
      <c r="L26" s="460"/>
      <c r="N26" s="444"/>
      <c r="O26" s="445"/>
      <c r="P26" s="446"/>
      <c r="Q26" s="447"/>
      <c r="R26" s="448"/>
      <c r="S26" s="442">
        <f>'حسابات الموردين'!G3</f>
        <v>0</v>
      </c>
      <c r="T26" s="443"/>
      <c r="U26"/>
      <c r="V26"/>
      <c r="W26"/>
      <c r="X26"/>
      <c r="Y26"/>
    </row>
    <row r="27" spans="2:26" ht="15.75" thickBot="1" x14ac:dyDescent="0.25">
      <c r="B27" s="450"/>
      <c r="D27" s="453"/>
      <c r="E27" s="454"/>
      <c r="F27" s="456"/>
      <c r="H27" s="465"/>
      <c r="J27" s="458"/>
      <c r="K27" s="461"/>
      <c r="L27" s="462"/>
      <c r="N27" s="444"/>
      <c r="O27" s="445"/>
      <c r="P27" s="446"/>
      <c r="Q27" s="447"/>
      <c r="R27" s="448"/>
      <c r="S27" s="442">
        <f>'حسابات الموردين'!G7</f>
        <v>0</v>
      </c>
      <c r="T27" s="443"/>
      <c r="U27"/>
      <c r="V27"/>
      <c r="W27"/>
      <c r="X27"/>
      <c r="Y27"/>
    </row>
    <row r="28" spans="2:26" ht="15" x14ac:dyDescent="0.2">
      <c r="H28" s="33"/>
      <c r="I28" s="33"/>
      <c r="N28" s="444"/>
      <c r="O28" s="445"/>
      <c r="P28" s="446"/>
      <c r="Q28" s="447"/>
      <c r="R28" s="448"/>
      <c r="S28" s="442">
        <f>'حسابات الموردين'!G8</f>
        <v>0</v>
      </c>
      <c r="T28" s="443"/>
      <c r="U28"/>
      <c r="V28"/>
      <c r="W28"/>
      <c r="X28"/>
      <c r="Y28"/>
    </row>
    <row r="29" spans="2:26" ht="15" x14ac:dyDescent="0.2">
      <c r="H29"/>
      <c r="I29"/>
      <c r="N29" s="444"/>
      <c r="O29" s="445"/>
      <c r="P29" s="446"/>
      <c r="Q29" s="447"/>
      <c r="R29" s="448"/>
      <c r="S29" s="442">
        <f>'حسابات الموردين'!G9</f>
        <v>0</v>
      </c>
      <c r="T29" s="443"/>
      <c r="U29"/>
      <c r="V29"/>
      <c r="W29"/>
      <c r="X29"/>
      <c r="Y29"/>
    </row>
    <row r="30" spans="2:26" ht="15.75" thickBot="1" x14ac:dyDescent="0.25">
      <c r="F30" s="37"/>
      <c r="H30"/>
      <c r="I30"/>
      <c r="N30" s="575"/>
      <c r="O30" s="576"/>
      <c r="P30" s="577"/>
      <c r="Q30" s="578"/>
      <c r="R30" s="579"/>
      <c r="S30" s="573">
        <f>'حسابات الموردين'!G10</f>
        <v>0</v>
      </c>
      <c r="T30" s="574"/>
      <c r="U30"/>
      <c r="V30"/>
      <c r="W30"/>
      <c r="X30"/>
      <c r="Y30"/>
    </row>
    <row r="31" spans="2:26" ht="15" x14ac:dyDescent="0.2">
      <c r="E31"/>
      <c r="F31"/>
      <c r="G31"/>
      <c r="I31"/>
      <c r="N31" s="571"/>
      <c r="O31" s="571"/>
      <c r="P31" s="447"/>
      <c r="Q31" s="447"/>
      <c r="R31" s="447"/>
      <c r="S31" s="572">
        <f>'حسابات الموردين'!G11</f>
        <v>0</v>
      </c>
      <c r="T31" s="572"/>
    </row>
    <row r="32" spans="2:26" ht="15" x14ac:dyDescent="0.2">
      <c r="E32"/>
      <c r="F32"/>
      <c r="G32"/>
      <c r="N32" s="571"/>
      <c r="O32" s="571"/>
      <c r="P32" s="447"/>
      <c r="Q32" s="447"/>
      <c r="R32" s="447"/>
      <c r="S32" s="572">
        <f>'حسابات الموردين'!G12</f>
        <v>0</v>
      </c>
      <c r="T32" s="572"/>
    </row>
    <row r="33" spans="5:7" x14ac:dyDescent="0.2">
      <c r="E33"/>
      <c r="F33"/>
      <c r="G33"/>
    </row>
    <row r="34" spans="5:7" x14ac:dyDescent="0.2">
      <c r="E34"/>
      <c r="F34"/>
      <c r="G34"/>
    </row>
  </sheetData>
  <sheetProtection algorithmName="SHA-512" hashValue="rxYMvGz8UqNITcFjqZb1zr4holr42VemSEn/8vVStQQV7lFIBVrP6kXl07KLye5fiZSSDWOdiKeWPQrdmye1vw==" saltValue="gR/vSftJHCuG4/3CJxw6mA==" spinCount="100000" sheet="1" objects="1" scenarios="1"/>
  <mergeCells count="109">
    <mergeCell ref="N31:O31"/>
    <mergeCell ref="P31:R31"/>
    <mergeCell ref="S31:T31"/>
    <mergeCell ref="N32:O32"/>
    <mergeCell ref="P32:R32"/>
    <mergeCell ref="S32:T32"/>
    <mergeCell ref="N29:O29"/>
    <mergeCell ref="P29:R29"/>
    <mergeCell ref="S29:T29"/>
    <mergeCell ref="S30:T30"/>
    <mergeCell ref="N30:O30"/>
    <mergeCell ref="P30:R30"/>
    <mergeCell ref="V7:X8"/>
    <mergeCell ref="R4:T4"/>
    <mergeCell ref="E2:P2"/>
    <mergeCell ref="B4:C4"/>
    <mergeCell ref="E4:G4"/>
    <mergeCell ref="K4:L4"/>
    <mergeCell ref="M4:N4"/>
    <mergeCell ref="B5:C5"/>
    <mergeCell ref="E5:G5"/>
    <mergeCell ref="K5:L5"/>
    <mergeCell ref="M5:N5"/>
    <mergeCell ref="R5:T5"/>
    <mergeCell ref="M9:N10"/>
    <mergeCell ref="O9:O10"/>
    <mergeCell ref="P9:P10"/>
    <mergeCell ref="B7:T7"/>
    <mergeCell ref="R9:R10"/>
    <mergeCell ref="S9:T10"/>
    <mergeCell ref="H10:I10"/>
    <mergeCell ref="B9:C10"/>
    <mergeCell ref="D9:D10"/>
    <mergeCell ref="E9:E10"/>
    <mergeCell ref="F9:G9"/>
    <mergeCell ref="H9:J9"/>
    <mergeCell ref="K9:L10"/>
    <mergeCell ref="B13:J13"/>
    <mergeCell ref="L13:M13"/>
    <mergeCell ref="N13:O13"/>
    <mergeCell ref="Q13:R13"/>
    <mergeCell ref="S13:T13"/>
    <mergeCell ref="B11:C11"/>
    <mergeCell ref="H11:I11"/>
    <mergeCell ref="K11:L11"/>
    <mergeCell ref="M11:N11"/>
    <mergeCell ref="S11:T11"/>
    <mergeCell ref="S17:T17"/>
    <mergeCell ref="K15:K16"/>
    <mergeCell ref="L15:M16"/>
    <mergeCell ref="N15:O16"/>
    <mergeCell ref="P15:P16"/>
    <mergeCell ref="R15:R16"/>
    <mergeCell ref="S15:T16"/>
    <mergeCell ref="H16:I16"/>
    <mergeCell ref="B17:C17"/>
    <mergeCell ref="H17:I17"/>
    <mergeCell ref="L17:M17"/>
    <mergeCell ref="N17:O17"/>
    <mergeCell ref="B15:C16"/>
    <mergeCell ref="D15:D16"/>
    <mergeCell ref="E15:E16"/>
    <mergeCell ref="F15:G15"/>
    <mergeCell ref="H15:J15"/>
    <mergeCell ref="B19:C19"/>
    <mergeCell ref="D19:G19"/>
    <mergeCell ref="H19:L19"/>
    <mergeCell ref="S19:T19"/>
    <mergeCell ref="B21:B22"/>
    <mergeCell ref="C21:D21"/>
    <mergeCell ref="H21:H22"/>
    <mergeCell ref="I21:J21"/>
    <mergeCell ref="K21:L21"/>
    <mergeCell ref="N21:T21"/>
    <mergeCell ref="C22:D22"/>
    <mergeCell ref="I22:J22"/>
    <mergeCell ref="K22:L22"/>
    <mergeCell ref="N22:O22"/>
    <mergeCell ref="P22:R22"/>
    <mergeCell ref="S22:T22"/>
    <mergeCell ref="N23:O23"/>
    <mergeCell ref="P23:R23"/>
    <mergeCell ref="S23:T23"/>
    <mergeCell ref="B24:B25"/>
    <mergeCell ref="D24:F24"/>
    <mergeCell ref="J24:L24"/>
    <mergeCell ref="N24:O24"/>
    <mergeCell ref="P24:R24"/>
    <mergeCell ref="S24:T24"/>
    <mergeCell ref="D25:E25"/>
    <mergeCell ref="N25:O25"/>
    <mergeCell ref="P25:R25"/>
    <mergeCell ref="S25:T25"/>
    <mergeCell ref="S28:T28"/>
    <mergeCell ref="N26:O26"/>
    <mergeCell ref="P26:R26"/>
    <mergeCell ref="S26:T26"/>
    <mergeCell ref="N27:O27"/>
    <mergeCell ref="P27:R27"/>
    <mergeCell ref="S27:T27"/>
    <mergeCell ref="B26:B27"/>
    <mergeCell ref="D26:E27"/>
    <mergeCell ref="F26:F27"/>
    <mergeCell ref="J26:J27"/>
    <mergeCell ref="K26:L27"/>
    <mergeCell ref="H25:H27"/>
    <mergeCell ref="K25:L25"/>
    <mergeCell ref="N28:O28"/>
    <mergeCell ref="P28:R28"/>
  </mergeCells>
  <conditionalFormatting sqref="G10">
    <cfRule type="expression" dxfId="109" priority="17">
      <formula>AND($E$11="وجه واحد",$G$11=0)</formula>
    </cfRule>
  </conditionalFormatting>
  <conditionalFormatting sqref="B11">
    <cfRule type="expression" dxfId="108" priority="16">
      <formula>$B$11=""</formula>
    </cfRule>
  </conditionalFormatting>
  <conditionalFormatting sqref="B17">
    <cfRule type="expression" dxfId="107" priority="15">
      <formula>$B$17=""</formula>
    </cfRule>
  </conditionalFormatting>
  <conditionalFormatting sqref="P17">
    <cfRule type="expression" dxfId="106" priority="14">
      <formula>$P$17=""</formula>
    </cfRule>
  </conditionalFormatting>
  <conditionalFormatting sqref="O4">
    <cfRule type="expression" dxfId="105" priority="12">
      <formula>$O$4=0</formula>
    </cfRule>
  </conditionalFormatting>
  <conditionalFormatting sqref="N17">
    <cfRule type="expression" dxfId="104" priority="11">
      <formula>$N$17=""</formula>
    </cfRule>
  </conditionalFormatting>
  <conditionalFormatting sqref="I5">
    <cfRule type="expression" dxfId="103" priority="10">
      <formula>$I$5=0</formula>
    </cfRule>
  </conditionalFormatting>
  <conditionalFormatting sqref="P5">
    <cfRule type="expression" dxfId="102" priority="9">
      <formula>AND($P$5=0,$B$17&lt;&gt;"")</formula>
    </cfRule>
  </conditionalFormatting>
  <conditionalFormatting sqref="S11 R17:S17">
    <cfRule type="expression" dxfId="101" priority="18">
      <formula>$K$17="تأكد من الورق"</formula>
    </cfRule>
  </conditionalFormatting>
  <conditionalFormatting sqref="F26:F27">
    <cfRule type="expression" dxfId="100" priority="7">
      <formula>$F$26=0</formula>
    </cfRule>
    <cfRule type="colorScale" priority="8">
      <colorScale>
        <cfvo type="num" val="0.15"/>
        <cfvo type="percentile" val="50"/>
        <cfvo type="num" val="0.25"/>
        <color rgb="FFF8696B"/>
        <color rgb="FFFFEB84"/>
        <color theme="9" tint="0.39997558519241921"/>
      </colorScale>
    </cfRule>
  </conditionalFormatting>
  <conditionalFormatting sqref="C2">
    <cfRule type="containsBlanks" dxfId="99" priority="2">
      <formula>LEN(TRIM(C2))=0</formula>
    </cfRule>
    <cfRule type="expression" dxfId="98" priority="3">
      <formula>$C$2="تأكد"</formula>
    </cfRule>
  </conditionalFormatting>
  <conditionalFormatting sqref="R2">
    <cfRule type="expression" dxfId="97" priority="24">
      <formula>$L$1=TRUE</formula>
    </cfRule>
  </conditionalFormatting>
  <conditionalFormatting sqref="T2">
    <cfRule type="expression" dxfId="96" priority="26">
      <formula>$P$1=TRUE</formula>
    </cfRule>
  </conditionalFormatting>
  <conditionalFormatting sqref="S19:T19">
    <cfRule type="colorScale" priority="1">
      <colorScale>
        <cfvo type="formula" val="TODAY()-30"/>
        <cfvo type="formula" val="TODAY()-15"/>
        <cfvo type="formula" val="TODAY()"/>
        <color rgb="FFFF5050"/>
        <color rgb="FFFFEB84"/>
        <color rgb="FF00D300"/>
      </colorScale>
    </cfRule>
  </conditionalFormatting>
  <dataValidations count="7">
    <dataValidation type="list" allowBlank="1" showInputMessage="1" showErrorMessage="1" sqref="J5" xr:uid="{00000000-0002-0000-0000-000000000000}">
      <formula1>Prints_Kinds</formula1>
    </dataValidation>
    <dataValidation type="list" allowBlank="1" showInputMessage="1" showErrorMessage="1" sqref="P5" xr:uid="{00000000-0002-0000-0000-000001000000}">
      <formula1>"طولي,عرضي"</formula1>
    </dataValidation>
    <dataValidation type="list" allowBlank="1" showInputMessage="1" showErrorMessage="1" sqref="O4" xr:uid="{00000000-0002-0000-0000-000002000000}">
      <formula1>"A5,A4,A3,خاص"</formula1>
    </dataValidation>
    <dataValidation type="list" allowBlank="1" showInputMessage="1" showErrorMessage="1" sqref="K22:L22" xr:uid="{00000000-0002-0000-0000-000003000000}">
      <formula1>"ربح,خصم,خسارة"</formula1>
    </dataValidation>
    <dataValidation operator="greaterThan" allowBlank="1" showInputMessage="1" showErrorMessage="1" sqref="H9 E15:G17 K11 H11 E9:G11 S15 C14:J14 H17 R11:S11 O14:S14 R17:S17 R15:R16 R9:R10 S9 L17 C18:J18 P15 K15:K17 N15 L15 K9 H15 M11:M12 O9:P11 M9" xr:uid="{00000000-0002-0000-0000-000004000000}"/>
    <dataValidation type="list" allowBlank="1" showInputMessage="1" showErrorMessage="1" sqref="B11 B17" xr:uid="{00000000-0002-0000-0000-000005000000}">
      <formula1>"أوفست,ديجيتال"</formula1>
    </dataValidation>
    <dataValidation type="list" operator="greaterThan" allowBlank="1" showInputMessage="1" showErrorMessage="1" sqref="N17:O17" xr:uid="{00000000-0002-0000-0000-000006000000}">
      <formula1>"أعلى,عربي,إنجليزي"</formula1>
    </dataValidation>
  </dataValidations>
  <pageMargins left="0.45" right="0.41" top="0.75" bottom="0.75" header="0.3" footer="0.3"/>
  <pageSetup paperSize="9" scale="88" orientation="landscape" r:id="rId1"/>
  <ignoredErrors>
    <ignoredError sqref="F1 H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a2foul">
              <controlPr defaultSize="0" autoFill="0" autoLine="0" autoPict="0">
                <anchor moveWithCells="1">
                  <from>
                    <xdr:col>13</xdr:col>
                    <xdr:colOff>266700</xdr:colOff>
                    <xdr:row>5</xdr:row>
                    <xdr:rowOff>0</xdr:rowOff>
                  </from>
                  <to>
                    <xdr:col>14</xdr:col>
                    <xdr:colOff>361950</xdr:colOff>
                    <xdr:row>6</xdr:row>
                    <xdr:rowOff>19050</xdr:rowOff>
                  </to>
                </anchor>
              </controlPr>
            </control>
          </mc:Choice>
        </mc:AlternateContent>
        <mc:AlternateContent xmlns:mc="http://schemas.openxmlformats.org/markup-compatibility/2006">
          <mc:Choice Requires="x14">
            <control shapeId="1026" r:id="rId5" name="Mafroud">
              <controlPr defaultSize="0" autoFill="0" autoLine="0" autoPict="0">
                <anchor moveWithCells="1">
                  <from>
                    <xdr:col>12</xdr:col>
                    <xdr:colOff>9525</xdr:colOff>
                    <xdr:row>5</xdr:row>
                    <xdr:rowOff>0</xdr:rowOff>
                  </from>
                  <to>
                    <xdr:col>13</xdr:col>
                    <xdr:colOff>323850</xdr:colOff>
                    <xdr:row>6</xdr:row>
                    <xdr:rowOff>19050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17</xdr:col>
                    <xdr:colOff>352425</xdr:colOff>
                    <xdr:row>1</xdr:row>
                    <xdr:rowOff>19050</xdr:rowOff>
                  </from>
                  <to>
                    <xdr:col>17</xdr:col>
                    <xdr:colOff>523875</xdr:colOff>
                    <xdr:row>1</xdr:row>
                    <xdr:rowOff>219075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19</xdr:col>
                    <xdr:colOff>342900</xdr:colOff>
                    <xdr:row>1</xdr:row>
                    <xdr:rowOff>19050</xdr:rowOff>
                  </from>
                  <to>
                    <xdr:col>19</xdr:col>
                    <xdr:colOff>514350</xdr:colOff>
                    <xdr:row>1</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
  <sheetViews>
    <sheetView rightToLeft="1" workbookViewId="0"/>
  </sheetViews>
  <sheetFormatPr defaultRowHeight="14.2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A37"/>
  <sheetViews>
    <sheetView showZeros="0" rightToLeft="1" zoomScale="120" zoomScaleNormal="120" workbookViewId="0">
      <selection activeCell="E6" sqref="E6"/>
    </sheetView>
  </sheetViews>
  <sheetFormatPr defaultColWidth="9" defaultRowHeight="14.25" x14ac:dyDescent="0.2"/>
  <cols>
    <col min="1" max="1" width="3.375" style="46" customWidth="1"/>
    <col min="2" max="2" width="9" style="46"/>
    <col min="3" max="3" width="8.125" style="46" bestFit="1" customWidth="1"/>
    <col min="4" max="5" width="9.875" style="46" bestFit="1" customWidth="1"/>
    <col min="6" max="6" width="14.625" style="46" bestFit="1" customWidth="1"/>
    <col min="7" max="9" width="9" style="46"/>
    <col min="10" max="10" width="10.875" style="46" bestFit="1" customWidth="1"/>
    <col min="11" max="12" width="9.375" style="46" bestFit="1" customWidth="1"/>
    <col min="13" max="13" width="11.125" style="46" bestFit="1" customWidth="1"/>
    <col min="14" max="14" width="12.625" style="46" bestFit="1" customWidth="1"/>
    <col min="15" max="15" width="6.25" style="46" customWidth="1"/>
    <col min="16" max="16" width="11.375" style="46" bestFit="1" customWidth="1"/>
    <col min="17" max="17" width="9" style="46"/>
    <col min="18" max="18" width="4.75" style="46" customWidth="1"/>
    <col min="19" max="20" width="10.75" style="46" customWidth="1"/>
    <col min="21" max="22" width="9" style="46"/>
    <col min="23" max="23" width="11.875" style="118" hidden="1" customWidth="1"/>
    <col min="24" max="24" width="10.375" style="118" hidden="1" customWidth="1"/>
    <col min="25" max="25" width="10.125" style="118" hidden="1" customWidth="1"/>
    <col min="26" max="26" width="8.875" style="118" hidden="1" customWidth="1"/>
    <col min="27" max="27" width="9.375" style="118" hidden="1" customWidth="1"/>
    <col min="28" max="16384" width="9" style="46"/>
  </cols>
  <sheetData>
    <row r="1" spans="1:26" ht="8.25" customHeight="1" thickBot="1" x14ac:dyDescent="0.25">
      <c r="A1" s="118"/>
      <c r="B1" s="118"/>
      <c r="C1" s="41" t="s">
        <v>263</v>
      </c>
      <c r="D1" s="118" t="s">
        <v>329</v>
      </c>
      <c r="E1" s="696" t="s">
        <v>129</v>
      </c>
      <c r="F1" s="697"/>
      <c r="G1" s="697"/>
      <c r="H1" s="697"/>
      <c r="I1" s="697"/>
      <c r="J1" s="697"/>
      <c r="K1" s="698"/>
      <c r="L1" s="118"/>
      <c r="M1" s="118"/>
      <c r="N1" s="118"/>
      <c r="O1" s="118"/>
      <c r="P1" s="118"/>
      <c r="Q1" s="118"/>
      <c r="R1" s="118"/>
      <c r="S1" s="118"/>
      <c r="T1" s="118"/>
      <c r="Z1" s="118" t="str">
        <f ca="1">MID(CELL("filename",A1),FIND("[",CELL("filename",A1))+1,FIND("]", CELL("filename",A1))-FIND("[",CELL("filename",A1))-1)</f>
        <v>Pricing 2024.xlsm</v>
      </c>
    </row>
    <row r="2" spans="1:26" ht="18.75" thickBot="1" x14ac:dyDescent="0.25">
      <c r="A2" s="118"/>
      <c r="B2" s="226" t="s">
        <v>0</v>
      </c>
      <c r="C2" s="227"/>
      <c r="D2" s="118"/>
      <c r="E2" s="699"/>
      <c r="F2" s="700"/>
      <c r="G2" s="700"/>
      <c r="H2" s="700"/>
      <c r="I2" s="700"/>
      <c r="J2" s="700"/>
      <c r="K2" s="701"/>
      <c r="L2" s="118"/>
      <c r="M2" s="118"/>
      <c r="N2" s="3" t="s">
        <v>130</v>
      </c>
      <c r="O2" s="118"/>
      <c r="P2" s="694" t="s">
        <v>131</v>
      </c>
      <c r="Q2" s="695"/>
      <c r="R2" s="118"/>
      <c r="S2" s="702" t="s">
        <v>17</v>
      </c>
      <c r="T2" s="703"/>
    </row>
    <row r="3" spans="1:26" ht="8.25" customHeight="1" thickBot="1" x14ac:dyDescent="0.25">
      <c r="A3" s="118"/>
      <c r="B3" s="118"/>
      <c r="C3" s="118"/>
      <c r="D3" s="118"/>
      <c r="E3" s="118"/>
      <c r="F3" s="118"/>
      <c r="G3" s="118"/>
      <c r="H3" s="118"/>
      <c r="I3" s="118"/>
      <c r="J3" s="118"/>
      <c r="K3" s="118"/>
      <c r="L3" s="118"/>
      <c r="M3" s="118"/>
      <c r="N3" s="118"/>
      <c r="O3" s="118"/>
      <c r="P3" s="706">
        <v>46029</v>
      </c>
      <c r="Q3" s="707"/>
      <c r="R3" s="228"/>
      <c r="S3" s="704"/>
      <c r="T3" s="705"/>
    </row>
    <row r="4" spans="1:26" ht="18.75" thickBot="1" x14ac:dyDescent="0.25">
      <c r="A4" s="118"/>
      <c r="B4" s="710" t="s">
        <v>1</v>
      </c>
      <c r="C4" s="711"/>
      <c r="D4" s="711"/>
      <c r="E4" s="711"/>
      <c r="F4" s="711"/>
      <c r="G4" s="712"/>
      <c r="H4" s="38"/>
      <c r="I4" s="713" t="s">
        <v>68</v>
      </c>
      <c r="J4" s="714"/>
      <c r="K4" s="714"/>
      <c r="L4" s="714"/>
      <c r="M4" s="714"/>
      <c r="N4" s="715"/>
      <c r="O4" s="229"/>
      <c r="P4" s="708"/>
      <c r="Q4" s="709"/>
      <c r="R4" s="118"/>
      <c r="S4" s="230"/>
      <c r="T4" s="231"/>
    </row>
    <row r="5" spans="1:26" ht="15.75" thickBot="1" x14ac:dyDescent="0.25">
      <c r="A5" s="118"/>
      <c r="B5" s="672" t="s">
        <v>7</v>
      </c>
      <c r="C5" s="673"/>
      <c r="D5" s="674"/>
      <c r="E5" s="232" t="s">
        <v>71</v>
      </c>
      <c r="F5" s="675" t="s">
        <v>60</v>
      </c>
      <c r="G5" s="674"/>
      <c r="H5" s="38"/>
      <c r="I5" s="605" t="s">
        <v>72</v>
      </c>
      <c r="J5" s="635"/>
      <c r="K5" s="233" t="s">
        <v>22</v>
      </c>
      <c r="L5" s="233" t="s">
        <v>47</v>
      </c>
      <c r="M5" s="643" t="s">
        <v>132</v>
      </c>
      <c r="N5" s="644"/>
      <c r="O5" s="229"/>
      <c r="P5" s="118"/>
      <c r="Q5" s="118"/>
      <c r="R5" s="118"/>
      <c r="S5" s="228"/>
      <c r="T5" s="234"/>
    </row>
    <row r="6" spans="1:26" ht="18.75" thickBot="1" x14ac:dyDescent="0.25">
      <c r="A6" s="118"/>
      <c r="B6" s="676" t="s">
        <v>330</v>
      </c>
      <c r="C6" s="677"/>
      <c r="D6" s="678"/>
      <c r="E6" s="235"/>
      <c r="F6" s="679"/>
      <c r="G6" s="678"/>
      <c r="H6" s="38"/>
      <c r="I6" s="680"/>
      <c r="J6" s="681"/>
      <c r="K6" s="682" t="s">
        <v>73</v>
      </c>
      <c r="L6" s="685">
        <f>IF(M6="أصل فقط",100,50)</f>
        <v>50</v>
      </c>
      <c r="M6" s="688"/>
      <c r="N6" s="689"/>
      <c r="O6" s="236"/>
      <c r="P6" s="694" t="s">
        <v>30</v>
      </c>
      <c r="Q6" s="695"/>
      <c r="R6" s="118"/>
      <c r="S6" s="228"/>
      <c r="T6" s="234"/>
    </row>
    <row r="7" spans="1:26" ht="16.5" thickBot="1" x14ac:dyDescent="0.25">
      <c r="A7" s="118"/>
      <c r="B7" s="38"/>
      <c r="C7" s="38"/>
      <c r="D7" s="38"/>
      <c r="E7" s="38"/>
      <c r="F7" s="38"/>
      <c r="G7" s="38"/>
      <c r="H7" s="38"/>
      <c r="I7" s="237" t="s">
        <v>38</v>
      </c>
      <c r="J7" s="238" t="s">
        <v>39</v>
      </c>
      <c r="K7" s="683"/>
      <c r="L7" s="686"/>
      <c r="M7" s="690"/>
      <c r="N7" s="691"/>
      <c r="O7" s="118"/>
      <c r="P7" s="624">
        <f>IF(B24=0,G10+M10+M15+N20+(N24*M24)+(N25*M25)+I24+H20,M10+(N24*M24)+(N25*M25)+(B24*E6))</f>
        <v>0</v>
      </c>
      <c r="Q7" s="625"/>
      <c r="R7" s="118"/>
      <c r="S7" s="228"/>
      <c r="T7" s="234"/>
      <c r="X7" s="118" t="s">
        <v>103</v>
      </c>
    </row>
    <row r="8" spans="1:26" ht="18.75" thickBot="1" x14ac:dyDescent="0.25">
      <c r="A8" s="118"/>
      <c r="B8" s="664" t="s">
        <v>75</v>
      </c>
      <c r="C8" s="665"/>
      <c r="D8" s="665"/>
      <c r="E8" s="665"/>
      <c r="F8" s="665"/>
      <c r="G8" s="666"/>
      <c r="H8" s="38"/>
      <c r="I8" s="239">
        <f>IFERROR(DGET(W29:Y37,X29,I5:J6),0)</f>
        <v>0</v>
      </c>
      <c r="J8" s="296">
        <f>IFERROR(DGET(W29:Y37,Y29,I5:J6),0)</f>
        <v>0</v>
      </c>
      <c r="K8" s="684"/>
      <c r="L8" s="687"/>
      <c r="M8" s="692"/>
      <c r="N8" s="693"/>
      <c r="O8" s="118"/>
      <c r="P8" s="628"/>
      <c r="Q8" s="629"/>
      <c r="R8" s="118"/>
      <c r="S8" s="228"/>
      <c r="T8" s="234"/>
      <c r="X8" s="118" t="s">
        <v>133</v>
      </c>
      <c r="Y8" s="118" t="s">
        <v>2</v>
      </c>
    </row>
    <row r="9" spans="1:26" ht="15.75" thickBot="1" x14ac:dyDescent="0.25">
      <c r="A9" s="118"/>
      <c r="B9" s="240" t="s">
        <v>76</v>
      </c>
      <c r="C9" s="241" t="s">
        <v>77</v>
      </c>
      <c r="D9" s="242" t="s">
        <v>78</v>
      </c>
      <c r="E9" s="242" t="s">
        <v>79</v>
      </c>
      <c r="F9" s="243" t="s">
        <v>80</v>
      </c>
      <c r="G9" s="243" t="s">
        <v>81</v>
      </c>
      <c r="H9" s="38"/>
      <c r="I9" s="605" t="s">
        <v>82</v>
      </c>
      <c r="J9" s="634"/>
      <c r="K9" s="634"/>
      <c r="L9" s="635"/>
      <c r="M9" s="605" t="s">
        <v>81</v>
      </c>
      <c r="N9" s="635"/>
      <c r="O9" s="118"/>
      <c r="P9" s="118"/>
      <c r="Q9" s="118"/>
      <c r="R9" s="118"/>
      <c r="S9" s="228"/>
      <c r="T9" s="234"/>
      <c r="X9" s="118" t="s">
        <v>134</v>
      </c>
      <c r="Y9" s="119" t="b">
        <v>0</v>
      </c>
    </row>
    <row r="10" spans="1:26" ht="18.75" thickBot="1" x14ac:dyDescent="0.25">
      <c r="A10" s="118"/>
      <c r="B10" s="244">
        <f>IF(K6="وجه واحد",B15,B15+C15)</f>
        <v>0</v>
      </c>
      <c r="C10" s="245" t="s">
        <v>101</v>
      </c>
      <c r="D10" s="246" t="s">
        <v>135</v>
      </c>
      <c r="E10" s="247"/>
      <c r="F10" s="248" t="str">
        <f>IFERROR(DGET('أفلام وزنكات'!$F$4:$H$19,'أفلام وزنكات'!$H$4,C9:D10),0)</f>
        <v>25</v>
      </c>
      <c r="G10" s="249">
        <f>IF(AND(B24&gt;0,D10="الشيخ جميل"),0,(B10*F10)+E10)</f>
        <v>0</v>
      </c>
      <c r="H10" s="250"/>
      <c r="I10" s="251" t="s">
        <v>87</v>
      </c>
      <c r="J10" s="667" t="str">
        <f>IFERROR(Y18,"تأكد من المقاس")</f>
        <v>تأكد من المقاس</v>
      </c>
      <c r="K10" s="667"/>
      <c r="L10" s="252" t="s">
        <v>136</v>
      </c>
      <c r="M10" s="668"/>
      <c r="N10" s="669"/>
      <c r="O10" s="118"/>
      <c r="P10" s="670" t="s">
        <v>137</v>
      </c>
      <c r="Q10" s="671"/>
      <c r="R10" s="118"/>
      <c r="S10" s="228"/>
      <c r="T10" s="234"/>
    </row>
    <row r="11" spans="1:26" ht="15.75" thickBot="1" x14ac:dyDescent="0.25">
      <c r="A11" s="118"/>
      <c r="B11" s="118"/>
      <c r="C11" s="118"/>
      <c r="D11" s="118"/>
      <c r="E11" s="118"/>
      <c r="F11" s="118"/>
      <c r="G11" s="118"/>
      <c r="H11" s="118"/>
      <c r="I11" s="118"/>
      <c r="J11" s="118"/>
      <c r="K11" s="118"/>
      <c r="L11" s="118"/>
      <c r="M11" s="118"/>
      <c r="N11" s="118"/>
      <c r="O11" s="118"/>
      <c r="P11" s="253" t="s">
        <v>56</v>
      </c>
      <c r="Q11" s="254" t="s">
        <v>65</v>
      </c>
      <c r="R11" s="118"/>
      <c r="S11" s="224"/>
      <c r="T11" s="255"/>
      <c r="W11" s="571" t="s">
        <v>74</v>
      </c>
      <c r="X11" s="571"/>
      <c r="Y11" s="571"/>
    </row>
    <row r="12" spans="1:26" ht="18.75" thickBot="1" x14ac:dyDescent="0.25">
      <c r="A12" s="118"/>
      <c r="B12" s="636" t="s">
        <v>89</v>
      </c>
      <c r="C12" s="637"/>
      <c r="D12" s="637"/>
      <c r="E12" s="637"/>
      <c r="F12" s="637"/>
      <c r="G12" s="637"/>
      <c r="H12" s="637"/>
      <c r="I12" s="637"/>
      <c r="J12" s="637"/>
      <c r="K12" s="637"/>
      <c r="L12" s="637"/>
      <c r="M12" s="637"/>
      <c r="N12" s="638"/>
      <c r="O12" s="229"/>
      <c r="P12" s="639"/>
      <c r="Q12" s="641">
        <f>IF(P12=0,0,P12/P7)</f>
        <v>0</v>
      </c>
      <c r="R12" s="118"/>
      <c r="S12" s="118"/>
      <c r="T12" s="118"/>
    </row>
    <row r="13" spans="1:26" ht="15.75" thickBot="1" x14ac:dyDescent="0.25">
      <c r="A13" s="118"/>
      <c r="B13" s="643" t="s">
        <v>91</v>
      </c>
      <c r="C13" s="644"/>
      <c r="D13" s="516" t="s">
        <v>124</v>
      </c>
      <c r="E13" s="645" t="s">
        <v>93</v>
      </c>
      <c r="F13" s="647" t="s">
        <v>94</v>
      </c>
      <c r="G13" s="643" t="s">
        <v>95</v>
      </c>
      <c r="H13" s="644"/>
      <c r="I13" s="643" t="s">
        <v>96</v>
      </c>
      <c r="J13" s="649"/>
      <c r="K13" s="649"/>
      <c r="L13" s="644"/>
      <c r="M13" s="650" t="s">
        <v>81</v>
      </c>
      <c r="N13" s="651"/>
      <c r="O13" s="120"/>
      <c r="P13" s="640"/>
      <c r="Q13" s="642"/>
      <c r="R13" s="118"/>
      <c r="S13" s="654" t="s">
        <v>64</v>
      </c>
      <c r="T13" s="655"/>
      <c r="W13" s="118" t="s">
        <v>72</v>
      </c>
      <c r="X13" s="118" t="e">
        <f>DGET(W21:Y27,X21,F19:F20)</f>
        <v>#NUM!</v>
      </c>
      <c r="Y13" s="118" t="e">
        <f>DGET(W21:Y27,Y21,F19:F20)</f>
        <v>#NUM!</v>
      </c>
    </row>
    <row r="14" spans="1:26" ht="15.75" thickBot="1" x14ac:dyDescent="0.25">
      <c r="A14" s="118"/>
      <c r="B14" s="256" t="s">
        <v>32</v>
      </c>
      <c r="C14" s="257" t="s">
        <v>33</v>
      </c>
      <c r="D14" s="517"/>
      <c r="E14" s="646"/>
      <c r="F14" s="648"/>
      <c r="G14" s="658"/>
      <c r="H14" s="659"/>
      <c r="I14" s="662" t="s">
        <v>98</v>
      </c>
      <c r="J14" s="663"/>
      <c r="K14" s="258" t="s">
        <v>99</v>
      </c>
      <c r="L14" s="259" t="s">
        <v>100</v>
      </c>
      <c r="M14" s="652"/>
      <c r="N14" s="653"/>
      <c r="O14" s="118"/>
      <c r="P14" s="118"/>
      <c r="Q14" s="118"/>
      <c r="R14" s="118"/>
      <c r="S14" s="656"/>
      <c r="T14" s="657"/>
      <c r="W14" s="295">
        <f>I8</f>
        <v>0</v>
      </c>
      <c r="X14" s="118" t="e">
        <f>ROUNDDOWN(X13/W14,0)</f>
        <v>#NUM!</v>
      </c>
      <c r="Y14" s="118" t="e">
        <f>ROUNDDOWN(Y13/W14,0)</f>
        <v>#NUM!</v>
      </c>
    </row>
    <row r="15" spans="1:26" ht="18.75" thickBot="1" x14ac:dyDescent="0.25">
      <c r="A15" s="118"/>
      <c r="B15" s="260"/>
      <c r="C15" s="261"/>
      <c r="D15" s="262">
        <f>IF(J10="تأكد من المقاس",0,ROUNDUP(E6*L6/J10,0))</f>
        <v>0</v>
      </c>
      <c r="E15" s="263">
        <f>IF(M6="أصل فقط",D15,IF(M6="أصل وصورة",D15*2,D15*3))</f>
        <v>0</v>
      </c>
      <c r="F15" s="264">
        <f>IF(K6="وجه واحد",ROUNDUP(E15/1000,0)*B15,(ROUNDUP(E15/1000,0)*C15)+(ROUNDUP(E15/1000,0)*B15))</f>
        <v>0</v>
      </c>
      <c r="G15" s="660"/>
      <c r="H15" s="661"/>
      <c r="I15" s="618" t="s">
        <v>135</v>
      </c>
      <c r="J15" s="619"/>
      <c r="K15" s="265" t="s">
        <v>101</v>
      </c>
      <c r="L15" s="266">
        <f>IFERROR(IF(B15=0,0,DGET(المطابع!$W$4:$Z$21,المطابع!$Y$4,I14:K15)),0)</f>
        <v>0</v>
      </c>
      <c r="M15" s="620">
        <f>IF(OR(B15=0,B24&gt;0),0,F15*L15)</f>
        <v>0</v>
      </c>
      <c r="N15" s="621"/>
      <c r="O15" s="118"/>
      <c r="P15" s="622" t="s">
        <v>138</v>
      </c>
      <c r="Q15" s="623"/>
      <c r="R15" s="118"/>
      <c r="S15" s="624" t="str">
        <f>IF(P12&lt;&gt;"",P7+P12,"برجاء وضع هامش ربح")</f>
        <v>برجاء وضع هامش ربح</v>
      </c>
      <c r="T15" s="625"/>
      <c r="W15" s="295">
        <f>J8</f>
        <v>0</v>
      </c>
      <c r="X15" s="118" t="e">
        <f>ROUNDDOWN(X13/W15,0)</f>
        <v>#NUM!</v>
      </c>
      <c r="Y15" s="118" t="e">
        <f>ROUNDDOWN(Y13/W15,0)</f>
        <v>#NUM!</v>
      </c>
    </row>
    <row r="16" spans="1:26" ht="10.5" customHeight="1" x14ac:dyDescent="0.2">
      <c r="A16" s="118"/>
      <c r="B16" s="118"/>
      <c r="C16" s="118"/>
      <c r="D16" s="118"/>
      <c r="E16" s="118"/>
      <c r="F16" s="118"/>
      <c r="G16" s="118"/>
      <c r="H16" s="118"/>
      <c r="I16" s="118"/>
      <c r="J16" s="118"/>
      <c r="K16" s="118"/>
      <c r="L16" s="118"/>
      <c r="M16" s="118"/>
      <c r="N16" s="118"/>
      <c r="O16" s="118"/>
      <c r="P16" s="630">
        <f>IFERROR(IF(ISNUMBER(S15),S15/E6,0),"أدخل العدد")</f>
        <v>0</v>
      </c>
      <c r="Q16" s="631"/>
      <c r="R16" s="118"/>
      <c r="S16" s="626"/>
      <c r="T16" s="627"/>
    </row>
    <row r="17" spans="1:27" ht="10.5" customHeight="1" thickBot="1" x14ac:dyDescent="0.25">
      <c r="A17" s="118"/>
      <c r="B17" s="118"/>
      <c r="C17" s="118"/>
      <c r="D17" s="118"/>
      <c r="E17" s="118"/>
      <c r="F17" s="118"/>
      <c r="G17" s="118"/>
      <c r="H17" s="118"/>
      <c r="I17" s="118"/>
      <c r="J17" s="118"/>
      <c r="K17" s="118"/>
      <c r="L17" s="118"/>
      <c r="M17" s="118"/>
      <c r="N17" s="118"/>
      <c r="O17" s="118"/>
      <c r="P17" s="632"/>
      <c r="Q17" s="633"/>
      <c r="R17" s="118"/>
      <c r="S17" s="628"/>
      <c r="T17" s="629"/>
      <c r="W17" s="118" t="e">
        <f>Y15*X14</f>
        <v>#NUM!</v>
      </c>
      <c r="Y17" s="118" t="s">
        <v>90</v>
      </c>
    </row>
    <row r="18" spans="1:27" ht="18.75" thickBot="1" x14ac:dyDescent="0.25">
      <c r="A18" s="118"/>
      <c r="B18" s="596" t="s">
        <v>102</v>
      </c>
      <c r="C18" s="597"/>
      <c r="D18" s="597"/>
      <c r="E18" s="597"/>
      <c r="F18" s="597"/>
      <c r="G18" s="597"/>
      <c r="H18" s="597"/>
      <c r="I18" s="597"/>
      <c r="J18" s="597"/>
      <c r="K18" s="597"/>
      <c r="L18" s="597"/>
      <c r="M18" s="597"/>
      <c r="N18" s="598"/>
      <c r="O18" s="118"/>
      <c r="P18" s="118"/>
      <c r="Q18" s="118"/>
      <c r="R18" s="118"/>
      <c r="S18" s="118"/>
      <c r="T18" s="118"/>
      <c r="W18" s="118" t="e">
        <f>X15*Y14</f>
        <v>#NUM!</v>
      </c>
      <c r="Y18" s="118" t="e">
        <f>IF(AND(W17&gt;=0,W18&gt;=0),MAX(W17,W18),"تأكد من المقاس")</f>
        <v>#NUM!</v>
      </c>
    </row>
    <row r="19" spans="1:27" ht="15.75" thickBot="1" x14ac:dyDescent="0.25">
      <c r="A19" s="118"/>
      <c r="B19" s="267" t="s">
        <v>103</v>
      </c>
      <c r="C19" s="257" t="s">
        <v>104</v>
      </c>
      <c r="D19" s="268" t="s">
        <v>105</v>
      </c>
      <c r="E19" s="269" t="s">
        <v>106</v>
      </c>
      <c r="F19" s="267" t="s">
        <v>139</v>
      </c>
      <c r="G19" s="270" t="s">
        <v>71</v>
      </c>
      <c r="H19" s="233" t="s">
        <v>107</v>
      </c>
      <c r="I19" s="271" t="s">
        <v>140</v>
      </c>
      <c r="J19" s="271" t="s">
        <v>141</v>
      </c>
      <c r="K19" s="271" t="s">
        <v>142</v>
      </c>
      <c r="L19" s="267" t="s">
        <v>108</v>
      </c>
      <c r="M19" s="272" t="s">
        <v>109</v>
      </c>
      <c r="N19" s="233" t="s">
        <v>81</v>
      </c>
      <c r="O19" s="118"/>
      <c r="P19" s="599" t="s">
        <v>58</v>
      </c>
      <c r="Q19" s="600"/>
      <c r="R19" s="600"/>
      <c r="S19" s="600"/>
      <c r="T19" s="601"/>
    </row>
    <row r="20" spans="1:27" ht="18.75" thickBot="1" x14ac:dyDescent="0.25">
      <c r="A20" s="118"/>
      <c r="B20" s="273"/>
      <c r="C20" s="261"/>
      <c r="D20" s="246"/>
      <c r="E20" s="274" t="s">
        <v>135</v>
      </c>
      <c r="F20" s="273"/>
      <c r="G20" s="275">
        <f>IF(D15&gt;0,ROUNDUP((D15/AA22)+F24,0),0)</f>
        <v>0</v>
      </c>
      <c r="H20" s="276"/>
      <c r="I20" s="277">
        <f>IFERROR(IF(L20=0,IF(M6="أصل فقط",0,INDEX('أسعار الورق'!$J$3:$J$74,SUMPRODUCT(('أسعار الورق'!$B$3:$B$74=B20)*('أسعار الورق'!$D$3:$D$74=C20)*('أسعار الورق'!$F$3:$F$74=E20)*('أسعار الورق'!$E$3:$E$74=D20)*ROW('أسعار الورق'!$H$3:$H$74))-2,0)),0),0)</f>
        <v>0</v>
      </c>
      <c r="J20" s="277">
        <f>IFERROR(IF(L20=0,IF(M6="أصل وصورتين",INDEX('أسعار الورق'!$K$3:$K$74,SUMPRODUCT(('أسعار الورق'!$B$3:$B$74=B20)*('أسعار الورق'!$D$3:$D$74=C20)*('أسعار الورق'!$F$3:$F$74=E20)*('أسعار الورق'!$E$3:$E$74=D20)*ROW('أسعار الورق'!$H$3:$H$74))-2,0),0),0),0)</f>
        <v>0</v>
      </c>
      <c r="K20" s="277">
        <f>IFERROR(IF(L20=0,IF(M6="أصل فقط",0,INDEX('أسعار الورق'!$L$3:$L$74,SUMPRODUCT(('أسعار الورق'!$B$3:$B$74=B20)*('أسعار الورق'!$D$3:$D$74=C20)*('أسعار الورق'!$F$3:$F$74=E20)*('أسعار الورق'!$E$3:$E$74=D20)*ROW('أسعار الورق'!$H$3:$H$74))-2,0)),0),0)</f>
        <v>0</v>
      </c>
      <c r="L20" s="278">
        <f>IF(OR(M6="أصل وصورتين",M6="أصل فقط"),IFERROR(INDEX('أسعار الورق'!$H$3:$H$74,SUMPRODUCT(('أسعار الورق'!$B$3:$B$74=B20)*('أسعار الورق'!$F$3:$F$74=E20)*('أسعار الورق'!$D$3:$D$74=C20)*('أسعار الورق'!$E$3:$E$74=D20)*ROW('أسعار الورق'!$H$3:$H$74))-2,0),"تأكد من الورق"),0)</f>
        <v>0</v>
      </c>
      <c r="M20" s="279" t="str">
        <f>IFERROR(INDEX('أسعار الورق'!$G$3:$G$74,SUMPRODUCT(('أسعار الورق'!$B$3:$B$74=B20)*('أسعار الورق'!$F$3:$F$74=E20)*('أسعار الورق'!$E$3:$E$74=D20)*ROW('أسعار الورق'!$G$3:$G$74))-2,0),"تأكد من الورق")</f>
        <v>تأكد من الورق</v>
      </c>
      <c r="N20" s="280">
        <f>IF(B24=0,ROUNDUP(IF(L20=0,(I20+K20)*G20,IFERROR(G20*L20,0)),0),0)</f>
        <v>0</v>
      </c>
      <c r="O20" s="127" t="str">
        <f ca="1">IF(B20&lt;&gt;"",CELL("address",INDEX('أسعار الورق'!$H$3:$H$74,SUMPRODUCT(('أسعار الورق'!$B$3:$B$74=B20)*('أسعار الورق'!$D$3:$D$74=C20)*('أسعار الورق'!$F$3:$F$74=E20)*('أسعار الورق'!$E$3:$E$74=D20)*ROW('أسعار الورق'!$H$3:$H$74))-2,0)),"")</f>
        <v/>
      </c>
      <c r="P20" s="281" t="s">
        <v>59</v>
      </c>
      <c r="Q20" s="602" t="s">
        <v>60</v>
      </c>
      <c r="R20" s="603"/>
      <c r="S20" s="604"/>
      <c r="T20" s="282" t="s">
        <v>61</v>
      </c>
    </row>
    <row r="21" spans="1:27" ht="15.75" thickBot="1" x14ac:dyDescent="0.25">
      <c r="A21" s="118"/>
      <c r="B21" s="118"/>
      <c r="C21" s="118"/>
      <c r="D21" s="118"/>
      <c r="E21" s="118"/>
      <c r="F21" s="118"/>
      <c r="G21" s="118"/>
      <c r="H21" s="118"/>
      <c r="I21" s="118"/>
      <c r="J21" s="118"/>
      <c r="K21" s="118"/>
      <c r="L21" s="118"/>
      <c r="M21" s="118"/>
      <c r="N21" s="118"/>
      <c r="O21" s="118"/>
      <c r="P21" s="283">
        <f>مطبوعات!N23</f>
        <v>0</v>
      </c>
      <c r="Q21" s="468">
        <f>مطبوعات!P23</f>
        <v>0</v>
      </c>
      <c r="R21" s="469"/>
      <c r="S21" s="470"/>
      <c r="T21" s="284">
        <f>مطبوعات!S23</f>
        <v>0</v>
      </c>
      <c r="W21" s="118" t="s">
        <v>139</v>
      </c>
      <c r="X21" s="118" t="s">
        <v>38</v>
      </c>
      <c r="Y21" s="118" t="s">
        <v>39</v>
      </c>
      <c r="Z21" s="118" t="s">
        <v>143</v>
      </c>
      <c r="AA21" s="118" t="s">
        <v>144</v>
      </c>
    </row>
    <row r="22" spans="1:27" ht="18.75" thickBot="1" x14ac:dyDescent="0.25">
      <c r="A22" s="118"/>
      <c r="B22" s="607" t="s">
        <v>145</v>
      </c>
      <c r="C22" s="608"/>
      <c r="D22" s="609"/>
      <c r="E22" s="118"/>
      <c r="F22" s="613" t="s">
        <v>146</v>
      </c>
      <c r="G22" s="118"/>
      <c r="H22" s="615" t="s">
        <v>147</v>
      </c>
      <c r="I22" s="616"/>
      <c r="J22" s="118"/>
      <c r="K22" s="615" t="s">
        <v>126</v>
      </c>
      <c r="L22" s="617"/>
      <c r="M22" s="617"/>
      <c r="N22" s="616"/>
      <c r="O22" s="118"/>
      <c r="P22" s="285">
        <f>مطبوعات!N24</f>
        <v>0</v>
      </c>
      <c r="Q22" s="446">
        <f>مطبوعات!P24</f>
        <v>0</v>
      </c>
      <c r="R22" s="447"/>
      <c r="S22" s="448"/>
      <c r="T22" s="286">
        <f>مطبوعات!S24</f>
        <v>0</v>
      </c>
      <c r="W22" s="118" t="s">
        <v>148</v>
      </c>
      <c r="X22" s="118">
        <v>29</v>
      </c>
      <c r="Y22" s="118">
        <v>19</v>
      </c>
      <c r="Z22" s="118">
        <v>11</v>
      </c>
      <c r="AA22" s="118" t="e">
        <f>DGET(W21:Z27,Z21,F19:F20)</f>
        <v>#NUM!</v>
      </c>
    </row>
    <row r="23" spans="1:27" ht="15.75" thickBot="1" x14ac:dyDescent="0.25">
      <c r="A23" s="118"/>
      <c r="B23" s="610"/>
      <c r="C23" s="611"/>
      <c r="D23" s="612"/>
      <c r="E23" s="118"/>
      <c r="F23" s="614"/>
      <c r="G23" s="118"/>
      <c r="H23" s="287" t="s">
        <v>149</v>
      </c>
      <c r="I23" s="288"/>
      <c r="J23" s="118"/>
      <c r="K23" s="605" t="s">
        <v>60</v>
      </c>
      <c r="L23" s="606"/>
      <c r="M23" s="289" t="s">
        <v>71</v>
      </c>
      <c r="N23" s="290" t="s">
        <v>127</v>
      </c>
      <c r="O23" s="118"/>
      <c r="P23" s="224">
        <f>مطبوعات!N25</f>
        <v>0</v>
      </c>
      <c r="Q23" s="577">
        <f>مطبوعات!P25</f>
        <v>0</v>
      </c>
      <c r="R23" s="578"/>
      <c r="S23" s="579"/>
      <c r="T23" s="225">
        <f>مطبوعات!S25</f>
        <v>0</v>
      </c>
      <c r="W23" s="118" t="s">
        <v>150</v>
      </c>
      <c r="X23" s="118">
        <v>32</v>
      </c>
      <c r="Y23" s="118">
        <v>22</v>
      </c>
      <c r="Z23" s="118">
        <v>9</v>
      </c>
    </row>
    <row r="24" spans="1:27" ht="15.75" x14ac:dyDescent="0.2">
      <c r="A24" s="118"/>
      <c r="B24" s="580"/>
      <c r="C24" s="581"/>
      <c r="D24" s="582"/>
      <c r="E24" s="118"/>
      <c r="F24" s="586"/>
      <c r="G24" s="118"/>
      <c r="H24" s="588" t="s">
        <v>67</v>
      </c>
      <c r="I24" s="590">
        <f>IF(B24=0,I23*E6,0)</f>
        <v>0</v>
      </c>
      <c r="J24" s="118"/>
      <c r="K24" s="592"/>
      <c r="L24" s="593"/>
      <c r="M24" s="291"/>
      <c r="N24" s="292"/>
      <c r="O24" s="118"/>
      <c r="P24" s="118"/>
      <c r="Q24" s="118"/>
      <c r="R24" s="118"/>
      <c r="S24" s="118"/>
      <c r="T24" s="118"/>
      <c r="W24" s="118" t="s">
        <v>151</v>
      </c>
      <c r="X24" s="118">
        <v>34</v>
      </c>
      <c r="Y24" s="118">
        <v>24</v>
      </c>
      <c r="Z24" s="118">
        <v>8</v>
      </c>
    </row>
    <row r="25" spans="1:27" ht="16.5" thickBot="1" x14ac:dyDescent="0.25">
      <c r="A25" s="118"/>
      <c r="B25" s="583"/>
      <c r="C25" s="584"/>
      <c r="D25" s="585"/>
      <c r="E25" s="118"/>
      <c r="F25" s="587"/>
      <c r="G25" s="118"/>
      <c r="H25" s="589"/>
      <c r="I25" s="591"/>
      <c r="J25" s="118"/>
      <c r="K25" s="594"/>
      <c r="L25" s="595"/>
      <c r="M25" s="294"/>
      <c r="N25" s="293"/>
      <c r="O25" s="118"/>
      <c r="P25" s="118"/>
      <c r="Q25" s="118"/>
      <c r="R25" s="118"/>
      <c r="S25" s="118"/>
      <c r="T25" s="118"/>
      <c r="W25" s="118" t="s">
        <v>152</v>
      </c>
      <c r="X25" s="118">
        <v>39</v>
      </c>
      <c r="Y25" s="118">
        <v>29</v>
      </c>
      <c r="Z25" s="118">
        <v>5</v>
      </c>
    </row>
    <row r="26" spans="1:27" x14ac:dyDescent="0.2">
      <c r="W26" s="118" t="s">
        <v>153</v>
      </c>
      <c r="X26" s="118">
        <v>48</v>
      </c>
      <c r="Y26" s="118">
        <v>33</v>
      </c>
      <c r="Z26" s="118">
        <v>4</v>
      </c>
    </row>
    <row r="27" spans="1:27" x14ac:dyDescent="0.2">
      <c r="W27" s="118" t="s">
        <v>154</v>
      </c>
      <c r="X27" s="118">
        <v>68</v>
      </c>
      <c r="Y27" s="118">
        <v>48</v>
      </c>
      <c r="Z27" s="118">
        <v>2</v>
      </c>
    </row>
    <row r="28" spans="1:27" x14ac:dyDescent="0.2">
      <c r="O28" s="47"/>
    </row>
    <row r="29" spans="1:27" x14ac:dyDescent="0.2">
      <c r="O29" s="47"/>
      <c r="W29" s="118" t="s">
        <v>72</v>
      </c>
      <c r="X29" s="118" t="s">
        <v>38</v>
      </c>
      <c r="Y29" s="118" t="s">
        <v>39</v>
      </c>
    </row>
    <row r="30" spans="1:27" x14ac:dyDescent="0.2">
      <c r="W30" s="118" t="s">
        <v>155</v>
      </c>
      <c r="X30" s="118">
        <v>14</v>
      </c>
      <c r="Y30" s="118">
        <v>9</v>
      </c>
    </row>
    <row r="31" spans="1:27" x14ac:dyDescent="0.2">
      <c r="W31" s="118" t="s">
        <v>156</v>
      </c>
      <c r="X31" s="118">
        <v>17</v>
      </c>
      <c r="Y31" s="118">
        <v>8</v>
      </c>
    </row>
    <row r="32" spans="1:27" x14ac:dyDescent="0.2">
      <c r="W32" s="118" t="s">
        <v>157</v>
      </c>
      <c r="X32" s="118">
        <v>16</v>
      </c>
      <c r="Y32" s="118">
        <v>11</v>
      </c>
    </row>
    <row r="33" spans="23:25" x14ac:dyDescent="0.2">
      <c r="W33" s="118" t="s">
        <v>158</v>
      </c>
      <c r="X33" s="118">
        <v>19</v>
      </c>
      <c r="Y33" s="118">
        <v>14</v>
      </c>
    </row>
    <row r="34" spans="23:25" x14ac:dyDescent="0.2">
      <c r="W34" s="118" t="s">
        <v>159</v>
      </c>
      <c r="X34" s="118">
        <v>22</v>
      </c>
      <c r="Y34" s="118">
        <v>16</v>
      </c>
    </row>
    <row r="35" spans="23:25" x14ac:dyDescent="0.2">
      <c r="W35" s="118" t="s">
        <v>160</v>
      </c>
      <c r="X35" s="118">
        <v>29</v>
      </c>
      <c r="Y35" s="118">
        <v>19</v>
      </c>
    </row>
    <row r="36" spans="23:25" x14ac:dyDescent="0.2">
      <c r="W36" s="118" t="s">
        <v>161</v>
      </c>
      <c r="X36" s="118">
        <v>32</v>
      </c>
      <c r="Y36" s="118">
        <v>22</v>
      </c>
    </row>
    <row r="37" spans="23:25" x14ac:dyDescent="0.2">
      <c r="W37" s="118" t="s">
        <v>162</v>
      </c>
      <c r="X37" s="118">
        <v>39</v>
      </c>
      <c r="Y37" s="118">
        <v>29</v>
      </c>
    </row>
  </sheetData>
  <sheetProtection algorithmName="SHA-512" hashValue="2ZJlL9h8YOCrLiWgPV++zZEiFXtbKJ9ogfW7GsKjGdaDT+MNhTWCVG8m7l+pkbjFAb8jP13Pl5l/UUwD6rPg6g==" saltValue="Tr4S8UK3IjqQOxZ2oHH7VA==" spinCount="100000" sheet="1" objects="1" scenarios="1"/>
  <dataConsolidate/>
  <mergeCells count="60">
    <mergeCell ref="E1:K2"/>
    <mergeCell ref="P2:Q2"/>
    <mergeCell ref="S2:T3"/>
    <mergeCell ref="P3:Q4"/>
    <mergeCell ref="B4:G4"/>
    <mergeCell ref="I4:N4"/>
    <mergeCell ref="B8:G8"/>
    <mergeCell ref="J10:K10"/>
    <mergeCell ref="M10:N10"/>
    <mergeCell ref="P10:Q10"/>
    <mergeCell ref="B5:D5"/>
    <mergeCell ref="F5:G5"/>
    <mergeCell ref="I5:J5"/>
    <mergeCell ref="M5:N5"/>
    <mergeCell ref="B6:D6"/>
    <mergeCell ref="F6:G6"/>
    <mergeCell ref="I6:J6"/>
    <mergeCell ref="K6:K8"/>
    <mergeCell ref="L6:L8"/>
    <mergeCell ref="M6:N8"/>
    <mergeCell ref="P6:Q6"/>
    <mergeCell ref="P7:Q8"/>
    <mergeCell ref="I9:L9"/>
    <mergeCell ref="M9:N9"/>
    <mergeCell ref="W11:Y11"/>
    <mergeCell ref="B12:N12"/>
    <mergeCell ref="P12:P13"/>
    <mergeCell ref="Q12:Q13"/>
    <mergeCell ref="B13:C13"/>
    <mergeCell ref="D13:D14"/>
    <mergeCell ref="E13:E14"/>
    <mergeCell ref="F13:F14"/>
    <mergeCell ref="G13:H13"/>
    <mergeCell ref="I13:L13"/>
    <mergeCell ref="M13:N14"/>
    <mergeCell ref="S13:T14"/>
    <mergeCell ref="G14:H15"/>
    <mergeCell ref="I14:J14"/>
    <mergeCell ref="I15:J15"/>
    <mergeCell ref="M15:N15"/>
    <mergeCell ref="P15:Q15"/>
    <mergeCell ref="S15:T17"/>
    <mergeCell ref="P16:Q17"/>
    <mergeCell ref="B18:N18"/>
    <mergeCell ref="P19:T19"/>
    <mergeCell ref="Q20:S20"/>
    <mergeCell ref="Q21:S21"/>
    <mergeCell ref="K23:L23"/>
    <mergeCell ref="Q23:S23"/>
    <mergeCell ref="B22:D23"/>
    <mergeCell ref="F22:F23"/>
    <mergeCell ref="H22:I22"/>
    <mergeCell ref="K22:N22"/>
    <mergeCell ref="Q22:S22"/>
    <mergeCell ref="B24:D25"/>
    <mergeCell ref="F24:F25"/>
    <mergeCell ref="H24:H25"/>
    <mergeCell ref="I24:I25"/>
    <mergeCell ref="K24:L24"/>
    <mergeCell ref="K25:L25"/>
  </mergeCells>
  <conditionalFormatting sqref="M20">
    <cfRule type="expression" dxfId="95" priority="16">
      <formula>$M$20=0</formula>
    </cfRule>
    <cfRule type="colorScale" priority="16">
      <colorScale>
        <cfvo type="formula" val="TODAY()-15"/>
        <cfvo type="formula" val="TODAY()-7"/>
        <cfvo type="formula" val="TODAY()"/>
        <color rgb="FFF8696B"/>
        <color rgb="FFFFEB84"/>
        <color rgb="FF63BE7B"/>
      </colorScale>
    </cfRule>
  </conditionalFormatting>
  <conditionalFormatting sqref="L20">
    <cfRule type="expression" dxfId="94" priority="15">
      <formula>$M$21="تأكد من الورق"</formula>
    </cfRule>
  </conditionalFormatting>
  <conditionalFormatting sqref="J10">
    <cfRule type="expression" dxfId="93" priority="14">
      <formula>$J$10="تأكد من المقاس"</formula>
    </cfRule>
  </conditionalFormatting>
  <conditionalFormatting sqref="C14:C15">
    <cfRule type="expression" dxfId="92" priority="13">
      <formula>AND($K$6="وجه واحد",$C$15=0)</formula>
    </cfRule>
  </conditionalFormatting>
  <conditionalFormatting sqref="P12">
    <cfRule type="expression" dxfId="91" priority="12">
      <formula>$P$12=0</formula>
    </cfRule>
  </conditionalFormatting>
  <conditionalFormatting sqref="P16">
    <cfRule type="expression" dxfId="90" priority="11">
      <formula>#REF!="أدخل العدد"</formula>
    </cfRule>
  </conditionalFormatting>
  <conditionalFormatting sqref="I23">
    <cfRule type="expression" dxfId="89" priority="10">
      <formula>$I$23=0</formula>
    </cfRule>
  </conditionalFormatting>
  <conditionalFormatting sqref="F20">
    <cfRule type="expression" dxfId="88" priority="9">
      <formula>$F$20=0</formula>
    </cfRule>
  </conditionalFormatting>
  <conditionalFormatting sqref="B15">
    <cfRule type="expression" dxfId="87" priority="8">
      <formula>$B$15=0</formula>
    </cfRule>
  </conditionalFormatting>
  <conditionalFormatting sqref="L6:L8">
    <cfRule type="expression" dxfId="86" priority="7">
      <formula>$L$6=0</formula>
    </cfRule>
  </conditionalFormatting>
  <conditionalFormatting sqref="E6">
    <cfRule type="expression" dxfId="85" priority="6">
      <formula>$E$6=0</formula>
    </cfRule>
  </conditionalFormatting>
  <conditionalFormatting sqref="T21:T23">
    <cfRule type="expression" dxfId="84" priority="5">
      <formula>T21&gt;0</formula>
    </cfRule>
  </conditionalFormatting>
  <conditionalFormatting sqref="C19:C20">
    <cfRule type="expression" dxfId="83" priority="4">
      <formula>AND($B$20="مكربن",$C$20="")</formula>
    </cfRule>
  </conditionalFormatting>
  <conditionalFormatting sqref="N2">
    <cfRule type="expression" dxfId="82" priority="17">
      <formula>$Y$9=TRUE</formula>
    </cfRule>
    <cfRule type="expression" dxfId="81" priority="17">
      <formula>$Y$9=FALSE</formula>
    </cfRule>
  </conditionalFormatting>
  <conditionalFormatting sqref="C2">
    <cfRule type="expression" dxfId="80" priority="1">
      <formula>$C$2="تأكد"</formula>
    </cfRule>
  </conditionalFormatting>
  <dataValidations count="10">
    <dataValidation type="list" allowBlank="1" showInputMessage="1" showErrorMessage="1" sqref="D20" xr:uid="{00000000-0002-0000-0200-000000000000}">
      <formula1>Papers_Origin</formula1>
    </dataValidation>
    <dataValidation type="list" allowBlank="1" showInputMessage="1" showErrorMessage="1" sqref="E20" xr:uid="{00000000-0002-0000-0200-000001000000}">
      <formula1>Papers_ma5zan</formula1>
    </dataValidation>
    <dataValidation type="list" allowBlank="1" showInputMessage="1" showErrorMessage="1" sqref="I6:J6" xr:uid="{00000000-0002-0000-0200-000002000000}">
      <formula1>$W$30:$W$37</formula1>
    </dataValidation>
    <dataValidation type="list" allowBlank="1" showInputMessage="1" showErrorMessage="1" sqref="B20" xr:uid="{00000000-0002-0000-0200-000003000000}">
      <formula1>$X$8:$X$9</formula1>
    </dataValidation>
    <dataValidation type="whole" operator="greaterThan" allowBlank="1" showInputMessage="1" showErrorMessage="1" sqref="E6" xr:uid="{00000000-0002-0000-0200-000004000000}">
      <formula1>0</formula1>
    </dataValidation>
    <dataValidation type="list" allowBlank="1" showInputMessage="1" showErrorMessage="1" sqref="F20" xr:uid="{00000000-0002-0000-0200-000005000000}">
      <formula1>$W$22:$W$27</formula1>
    </dataValidation>
    <dataValidation type="list" allowBlank="1" showInputMessage="1" showErrorMessage="1" sqref="K6:K8" xr:uid="{00000000-0002-0000-0200-000006000000}">
      <formula1>"وجه واحد,وجهين"</formula1>
    </dataValidation>
    <dataValidation type="list" allowBlank="1" showInputMessage="1" showErrorMessage="1" sqref="M6:N8" xr:uid="{00000000-0002-0000-0200-000007000000}">
      <formula1>"أصل فقط,أصل وصورة,أصل وصورتين"</formula1>
    </dataValidation>
    <dataValidation type="list" allowBlank="1" showInputMessage="1" showErrorMessage="1" sqref="D10 I15:J15" xr:uid="{00000000-0002-0000-0200-000008000000}">
      <formula1>Offset_presses</formula1>
    </dataValidation>
    <dataValidation type="list" allowBlank="1" showInputMessage="1" showErrorMessage="1" sqref="C10 K15" xr:uid="{00000000-0002-0000-0200-000009000000}">
      <formula1>Mkn_Sizes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Check Box 1">
              <controlPr defaultSize="0" autoFill="0" autoLine="0" autoPict="0">
                <anchor moveWithCells="1">
                  <from>
                    <xdr:col>13</xdr:col>
                    <xdr:colOff>542925</xdr:colOff>
                    <xdr:row>1</xdr:row>
                    <xdr:rowOff>9525</xdr:rowOff>
                  </from>
                  <to>
                    <xdr:col>13</xdr:col>
                    <xdr:colOff>733425</xdr:colOff>
                    <xdr:row>2</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1:AA37"/>
  <sheetViews>
    <sheetView showZeros="0" rightToLeft="1" topLeftCell="E1" zoomScale="120" zoomScaleNormal="120" workbookViewId="0">
      <selection activeCell="N26" sqref="N26"/>
    </sheetView>
  </sheetViews>
  <sheetFormatPr defaultColWidth="9" defaultRowHeight="14.25" x14ac:dyDescent="0.2"/>
  <cols>
    <col min="1" max="1" width="3.375" style="46" customWidth="1"/>
    <col min="2" max="2" width="9" style="46"/>
    <col min="3" max="3" width="8.125" style="46" bestFit="1" customWidth="1"/>
    <col min="4" max="5" width="9.875" style="46" bestFit="1" customWidth="1"/>
    <col min="6" max="6" width="14.625" style="46" bestFit="1" customWidth="1"/>
    <col min="7" max="9" width="9" style="46"/>
    <col min="10" max="10" width="10.875" style="46" bestFit="1" customWidth="1"/>
    <col min="11" max="12" width="9.375" style="46" bestFit="1" customWidth="1"/>
    <col min="13" max="13" width="11.125" style="46" bestFit="1" customWidth="1"/>
    <col min="14" max="14" width="12.625" style="46" bestFit="1" customWidth="1"/>
    <col min="15" max="15" width="6.25" style="46" customWidth="1"/>
    <col min="16" max="16" width="11.375" style="46" bestFit="1" customWidth="1"/>
    <col min="17" max="17" width="9" style="46"/>
    <col min="18" max="18" width="4.75" style="46" customWidth="1"/>
    <col min="19" max="20" width="10.75" style="46" customWidth="1"/>
    <col min="21" max="22" width="9" style="46"/>
    <col min="23" max="23" width="11.875" style="118" customWidth="1"/>
    <col min="24" max="24" width="10.375" style="118" customWidth="1"/>
    <col min="25" max="25" width="10.125" style="118" customWidth="1"/>
    <col min="26" max="26" width="8.875" style="118" customWidth="1"/>
    <col min="27" max="27" width="9.375" style="118" customWidth="1"/>
    <col min="28" max="16384" width="9" style="46"/>
  </cols>
  <sheetData>
    <row r="1" spans="1:26" ht="8.25" customHeight="1" thickBot="1" x14ac:dyDescent="0.25">
      <c r="A1" s="118"/>
      <c r="B1" s="118"/>
      <c r="C1" s="118"/>
      <c r="D1" s="118"/>
      <c r="E1" s="696" t="s">
        <v>251</v>
      </c>
      <c r="F1" s="697"/>
      <c r="G1" s="697"/>
      <c r="H1" s="697"/>
      <c r="I1" s="697"/>
      <c r="J1" s="697"/>
      <c r="K1" s="698"/>
      <c r="L1" s="118"/>
      <c r="M1" s="118"/>
      <c r="N1" s="118"/>
      <c r="O1" s="118"/>
      <c r="P1" s="118"/>
      <c r="Q1" s="118"/>
      <c r="R1" s="118"/>
      <c r="S1" s="118"/>
      <c r="T1" s="118"/>
      <c r="Z1" s="118" t="str">
        <f ca="1">MID(CELL("filename",A1),FIND("[",CELL("filename",A1))+1,FIND("]", CELL("filename",A1))-FIND("[",CELL("filename",A1))-1)</f>
        <v>Pricing 2024.xlsm</v>
      </c>
    </row>
    <row r="2" spans="1:26" ht="18.75" thickBot="1" x14ac:dyDescent="0.25">
      <c r="A2" s="118"/>
      <c r="B2" s="226" t="s">
        <v>0</v>
      </c>
      <c r="C2" s="227"/>
      <c r="D2" s="118"/>
      <c r="E2" s="699"/>
      <c r="F2" s="700"/>
      <c r="G2" s="700"/>
      <c r="H2" s="700"/>
      <c r="I2" s="700"/>
      <c r="J2" s="700"/>
      <c r="K2" s="701"/>
      <c r="L2" s="118"/>
      <c r="M2" s="118"/>
      <c r="N2" s="3" t="s">
        <v>130</v>
      </c>
      <c r="O2" s="118"/>
      <c r="P2" s="694" t="s">
        <v>131</v>
      </c>
      <c r="Q2" s="695"/>
      <c r="R2" s="118"/>
      <c r="S2" s="702" t="s">
        <v>17</v>
      </c>
      <c r="T2" s="703"/>
    </row>
    <row r="3" spans="1:26" ht="8.25" customHeight="1" thickBot="1" x14ac:dyDescent="0.25">
      <c r="A3" s="118"/>
      <c r="B3" s="118"/>
      <c r="C3" s="118"/>
      <c r="D3" s="118"/>
      <c r="E3" s="118"/>
      <c r="F3" s="118"/>
      <c r="G3" s="118"/>
      <c r="H3" s="118"/>
      <c r="I3" s="118"/>
      <c r="J3" s="118"/>
      <c r="K3" s="118"/>
      <c r="L3" s="118"/>
      <c r="M3" s="118"/>
      <c r="N3" s="118"/>
      <c r="O3" s="118"/>
      <c r="P3" s="706" t="s">
        <v>250</v>
      </c>
      <c r="Q3" s="707"/>
      <c r="R3" s="228"/>
      <c r="S3" s="704"/>
      <c r="T3" s="705"/>
    </row>
    <row r="4" spans="1:26" ht="18.75" thickBot="1" x14ac:dyDescent="0.25">
      <c r="A4" s="118"/>
      <c r="B4" s="710" t="s">
        <v>1</v>
      </c>
      <c r="C4" s="711"/>
      <c r="D4" s="711"/>
      <c r="E4" s="711"/>
      <c r="F4" s="711"/>
      <c r="G4" s="712"/>
      <c r="H4" s="38"/>
      <c r="I4" s="713" t="s">
        <v>68</v>
      </c>
      <c r="J4" s="714"/>
      <c r="K4" s="714"/>
      <c r="L4" s="714"/>
      <c r="M4" s="714"/>
      <c r="N4" s="715"/>
      <c r="O4" s="229"/>
      <c r="P4" s="708"/>
      <c r="Q4" s="709"/>
      <c r="R4" s="118"/>
      <c r="S4" s="230"/>
      <c r="T4" s="231"/>
    </row>
    <row r="5" spans="1:26" ht="15.75" thickBot="1" x14ac:dyDescent="0.25">
      <c r="A5" s="118"/>
      <c r="B5" s="672" t="s">
        <v>7</v>
      </c>
      <c r="C5" s="673"/>
      <c r="D5" s="674"/>
      <c r="E5" s="232" t="s">
        <v>71</v>
      </c>
      <c r="F5" s="675" t="s">
        <v>60</v>
      </c>
      <c r="G5" s="674"/>
      <c r="H5" s="38"/>
      <c r="I5" s="605" t="s">
        <v>72</v>
      </c>
      <c r="J5" s="635"/>
      <c r="K5" s="233" t="s">
        <v>22</v>
      </c>
      <c r="L5" s="233" t="s">
        <v>47</v>
      </c>
      <c r="M5" s="643" t="s">
        <v>132</v>
      </c>
      <c r="N5" s="644"/>
      <c r="O5" s="229"/>
      <c r="P5" s="118"/>
      <c r="Q5" s="118"/>
      <c r="R5" s="118"/>
      <c r="S5" s="228"/>
      <c r="T5" s="234"/>
      <c r="V5" s="46" t="s">
        <v>253</v>
      </c>
    </row>
    <row r="6" spans="1:26" ht="18.75" thickBot="1" x14ac:dyDescent="0.25">
      <c r="A6" s="118"/>
      <c r="B6" s="716" t="s">
        <v>249</v>
      </c>
      <c r="C6" s="717"/>
      <c r="D6" s="718"/>
      <c r="E6" s="235"/>
      <c r="F6" s="679"/>
      <c r="G6" s="678"/>
      <c r="H6" s="38"/>
      <c r="I6" s="680"/>
      <c r="J6" s="681"/>
      <c r="K6" s="682" t="s">
        <v>73</v>
      </c>
      <c r="L6" s="685">
        <f>IF(M6="أصل فقط",100,50)</f>
        <v>50</v>
      </c>
      <c r="M6" s="688"/>
      <c r="N6" s="689"/>
      <c r="O6" s="236"/>
      <c r="P6" s="694" t="s">
        <v>30</v>
      </c>
      <c r="Q6" s="695"/>
      <c r="R6" s="118"/>
      <c r="S6" s="228"/>
      <c r="T6" s="234"/>
      <c r="V6" s="46" t="s">
        <v>254</v>
      </c>
    </row>
    <row r="7" spans="1:26" ht="16.5" thickBot="1" x14ac:dyDescent="0.25">
      <c r="A7" s="118"/>
      <c r="B7" s="38"/>
      <c r="C7" s="38"/>
      <c r="D7" s="38"/>
      <c r="E7" s="38"/>
      <c r="F7" s="38"/>
      <c r="G7" s="38"/>
      <c r="H7" s="38"/>
      <c r="I7" s="237" t="s">
        <v>38</v>
      </c>
      <c r="J7" s="238" t="s">
        <v>39</v>
      </c>
      <c r="K7" s="683"/>
      <c r="L7" s="686"/>
      <c r="M7" s="690"/>
      <c r="N7" s="691"/>
      <c r="O7" s="118"/>
      <c r="P7" s="624">
        <f>IF(B24=0,G10+M10+M15+N20+(N24*M24)+(N25*M25)+I24+H20,M10+(N24*M24)+(N25*M25)+(B24*E6))</f>
        <v>0</v>
      </c>
      <c r="Q7" s="625"/>
      <c r="R7" s="118"/>
      <c r="S7" s="228"/>
      <c r="T7" s="234"/>
      <c r="V7" s="46" t="s">
        <v>255</v>
      </c>
      <c r="X7" s="118" t="s">
        <v>103</v>
      </c>
    </row>
    <row r="8" spans="1:26" ht="18.75" thickBot="1" x14ac:dyDescent="0.25">
      <c r="A8" s="118"/>
      <c r="B8" s="664" t="s">
        <v>75</v>
      </c>
      <c r="C8" s="665"/>
      <c r="D8" s="665"/>
      <c r="E8" s="665"/>
      <c r="F8" s="665"/>
      <c r="G8" s="666"/>
      <c r="H8" s="38"/>
      <c r="I8" s="239">
        <f>IFERROR(DGET(W29:Y37,X29,I5:J6),0)</f>
        <v>0</v>
      </c>
      <c r="J8" s="296">
        <f>IFERROR(DGET(W29:Y37,Y29,I5:J6),0)</f>
        <v>0</v>
      </c>
      <c r="K8" s="684"/>
      <c r="L8" s="687"/>
      <c r="M8" s="692"/>
      <c r="N8" s="693"/>
      <c r="O8" s="118"/>
      <c r="P8" s="628"/>
      <c r="Q8" s="629"/>
      <c r="R8" s="118"/>
      <c r="S8" s="228"/>
      <c r="T8" s="234"/>
      <c r="V8" s="46" t="s">
        <v>256</v>
      </c>
      <c r="X8" s="118" t="s">
        <v>133</v>
      </c>
      <c r="Y8" s="118" t="s">
        <v>2</v>
      </c>
    </row>
    <row r="9" spans="1:26" ht="15.75" thickBot="1" x14ac:dyDescent="0.25">
      <c r="A9" s="118"/>
      <c r="B9" s="240" t="s">
        <v>76</v>
      </c>
      <c r="C9" s="241" t="s">
        <v>77</v>
      </c>
      <c r="D9" s="242" t="s">
        <v>78</v>
      </c>
      <c r="E9" s="242" t="s">
        <v>79</v>
      </c>
      <c r="F9" s="243" t="s">
        <v>80</v>
      </c>
      <c r="G9" s="243" t="s">
        <v>81</v>
      </c>
      <c r="H9" s="38"/>
      <c r="I9" s="605" t="s">
        <v>82</v>
      </c>
      <c r="J9" s="634"/>
      <c r="K9" s="634"/>
      <c r="L9" s="635"/>
      <c r="M9" s="605" t="s">
        <v>81</v>
      </c>
      <c r="N9" s="635"/>
      <c r="O9" s="118"/>
      <c r="P9" s="118"/>
      <c r="Q9" s="118"/>
      <c r="R9" s="118"/>
      <c r="S9" s="228"/>
      <c r="T9" s="234"/>
      <c r="V9" s="46" t="s">
        <v>257</v>
      </c>
      <c r="X9" s="118" t="s">
        <v>134</v>
      </c>
      <c r="Y9" s="119" t="b">
        <v>0</v>
      </c>
    </row>
    <row r="10" spans="1:26" ht="18.75" thickBot="1" x14ac:dyDescent="0.25">
      <c r="A10" s="118"/>
      <c r="B10" s="244">
        <f>IF(K6="وجه واحد",B15,B15+C15)</f>
        <v>0</v>
      </c>
      <c r="C10" s="245" t="s">
        <v>101</v>
      </c>
      <c r="D10" s="246" t="s">
        <v>135</v>
      </c>
      <c r="E10" s="247"/>
      <c r="F10" s="248" t="str">
        <f>IFERROR(DGET('أفلام وزنكات'!$F$4:$H$19,'أفلام وزنكات'!$H$4,C9:D10),0)</f>
        <v>25</v>
      </c>
      <c r="G10" s="249">
        <f>IF(AND(B24&gt;0,D10="الشيخ جميل"),0,(B10*F10)+E10)</f>
        <v>0</v>
      </c>
      <c r="H10" s="250"/>
      <c r="I10" s="251" t="s">
        <v>87</v>
      </c>
      <c r="J10" s="667" t="str">
        <f>IFERROR(Y18,"تأكد من المقاس")</f>
        <v>تأكد من المقاس</v>
      </c>
      <c r="K10" s="667"/>
      <c r="L10" s="252" t="s">
        <v>136</v>
      </c>
      <c r="M10" s="668"/>
      <c r="N10" s="669"/>
      <c r="O10" s="118"/>
      <c r="P10" s="670" t="s">
        <v>137</v>
      </c>
      <c r="Q10" s="671"/>
      <c r="R10" s="118"/>
      <c r="S10" s="228"/>
      <c r="T10" s="234"/>
      <c r="V10" s="46" t="s">
        <v>258</v>
      </c>
    </row>
    <row r="11" spans="1:26" ht="15.75" thickBot="1" x14ac:dyDescent="0.25">
      <c r="A11" s="118"/>
      <c r="B11" s="118"/>
      <c r="C11" s="118"/>
      <c r="D11" s="118"/>
      <c r="E11" s="118"/>
      <c r="F11" s="118"/>
      <c r="G11" s="118"/>
      <c r="H11" s="118"/>
      <c r="I11" s="118"/>
      <c r="J11" s="118"/>
      <c r="K11" s="118"/>
      <c r="L11" s="118"/>
      <c r="M11" s="118"/>
      <c r="N11" s="118"/>
      <c r="O11" s="118"/>
      <c r="P11" s="253" t="s">
        <v>56</v>
      </c>
      <c r="Q11" s="254" t="s">
        <v>65</v>
      </c>
      <c r="R11" s="118"/>
      <c r="S11" s="224"/>
      <c r="T11" s="255"/>
      <c r="W11" s="571" t="s">
        <v>74</v>
      </c>
      <c r="X11" s="571"/>
      <c r="Y11" s="571"/>
    </row>
    <row r="12" spans="1:26" ht="18.75" thickBot="1" x14ac:dyDescent="0.25">
      <c r="A12" s="118"/>
      <c r="B12" s="636" t="s">
        <v>89</v>
      </c>
      <c r="C12" s="637"/>
      <c r="D12" s="637"/>
      <c r="E12" s="637"/>
      <c r="F12" s="637"/>
      <c r="G12" s="637"/>
      <c r="H12" s="637"/>
      <c r="I12" s="637"/>
      <c r="J12" s="637"/>
      <c r="K12" s="637"/>
      <c r="L12" s="637"/>
      <c r="M12" s="637"/>
      <c r="N12" s="638"/>
      <c r="O12" s="229"/>
      <c r="P12" s="639"/>
      <c r="Q12" s="641">
        <f>IF(P12=0,0,P12/P7)</f>
        <v>0</v>
      </c>
      <c r="R12" s="118"/>
      <c r="S12" s="118"/>
      <c r="T12" s="118"/>
    </row>
    <row r="13" spans="1:26" ht="15.75" thickBot="1" x14ac:dyDescent="0.25">
      <c r="A13" s="118"/>
      <c r="B13" s="643" t="s">
        <v>91</v>
      </c>
      <c r="C13" s="644"/>
      <c r="D13" s="516" t="s">
        <v>252</v>
      </c>
      <c r="E13" s="645" t="s">
        <v>93</v>
      </c>
      <c r="F13" s="647" t="s">
        <v>94</v>
      </c>
      <c r="G13" s="643" t="s">
        <v>95</v>
      </c>
      <c r="H13" s="644"/>
      <c r="I13" s="643" t="s">
        <v>96</v>
      </c>
      <c r="J13" s="649"/>
      <c r="K13" s="649"/>
      <c r="L13" s="644"/>
      <c r="M13" s="650" t="s">
        <v>81</v>
      </c>
      <c r="N13" s="651"/>
      <c r="O13" s="120"/>
      <c r="P13" s="640"/>
      <c r="Q13" s="642"/>
      <c r="R13" s="118"/>
      <c r="S13" s="654" t="s">
        <v>64</v>
      </c>
      <c r="T13" s="655"/>
      <c r="W13" s="118" t="s">
        <v>72</v>
      </c>
      <c r="X13" s="118" t="e">
        <f>DGET(W21:Y27,X21,F19:F20)</f>
        <v>#NUM!</v>
      </c>
      <c r="Y13" s="118" t="e">
        <f>DGET(W21:Y27,Y21,F19:F20)</f>
        <v>#NUM!</v>
      </c>
    </row>
    <row r="14" spans="1:26" ht="15.75" thickBot="1" x14ac:dyDescent="0.25">
      <c r="A14" s="118"/>
      <c r="B14" s="256" t="s">
        <v>32</v>
      </c>
      <c r="C14" s="257" t="s">
        <v>33</v>
      </c>
      <c r="D14" s="517"/>
      <c r="E14" s="646"/>
      <c r="F14" s="648"/>
      <c r="G14" s="658"/>
      <c r="H14" s="659"/>
      <c r="I14" s="662" t="s">
        <v>98</v>
      </c>
      <c r="J14" s="663"/>
      <c r="K14" s="258" t="s">
        <v>99</v>
      </c>
      <c r="L14" s="259" t="s">
        <v>100</v>
      </c>
      <c r="M14" s="652"/>
      <c r="N14" s="653"/>
      <c r="O14" s="118"/>
      <c r="P14" s="118"/>
      <c r="Q14" s="118"/>
      <c r="R14" s="118"/>
      <c r="S14" s="656"/>
      <c r="T14" s="657"/>
      <c r="W14" s="295">
        <f>I8</f>
        <v>0</v>
      </c>
      <c r="X14" s="118" t="e">
        <f>ROUNDDOWN(X13/W14,0)</f>
        <v>#NUM!</v>
      </c>
      <c r="Y14" s="118" t="e">
        <f>ROUNDDOWN(Y13/W14,0)</f>
        <v>#NUM!</v>
      </c>
    </row>
    <row r="15" spans="1:26" ht="18.75" thickBot="1" x14ac:dyDescent="0.25">
      <c r="A15" s="118"/>
      <c r="B15" s="260"/>
      <c r="C15" s="261"/>
      <c r="D15" s="262">
        <f>IF(J10="تأكد من المقاس",0,ROUNDUP(E6*L6/J10,0))</f>
        <v>0</v>
      </c>
      <c r="E15" s="263">
        <f>IF(M6="أصل فقط",D15,IF(M6="أصل وصورة",D15*2,D15*3))</f>
        <v>0</v>
      </c>
      <c r="F15" s="264">
        <f>IF(K6="وجه واحد",ROUNDUP(E15/1000,0)*B15,(ROUNDUP(E15/1000,0)*C15)+(ROUNDUP(E15/1000,0)*B15))</f>
        <v>0</v>
      </c>
      <c r="G15" s="660"/>
      <c r="H15" s="661"/>
      <c r="I15" s="618" t="s">
        <v>135</v>
      </c>
      <c r="J15" s="619"/>
      <c r="K15" s="265" t="s">
        <v>101</v>
      </c>
      <c r="L15" s="266">
        <f>IFERROR(IF(B15=0,0,DGET(المطابع!$W$4:$Z$21,المطابع!$Y$4,I14:K15)),0)</f>
        <v>0</v>
      </c>
      <c r="M15" s="620">
        <f>IF(OR(B15=0,B24&gt;0),0,F15*L15)</f>
        <v>0</v>
      </c>
      <c r="N15" s="621"/>
      <c r="O15" s="118"/>
      <c r="P15" s="622" t="s">
        <v>138</v>
      </c>
      <c r="Q15" s="623"/>
      <c r="R15" s="118"/>
      <c r="S15" s="624" t="str">
        <f>IF(P12&lt;&gt;"",P7+P12,"برجاء وضع هامش ربح")</f>
        <v>برجاء وضع هامش ربح</v>
      </c>
      <c r="T15" s="625"/>
      <c r="W15" s="295">
        <f>J8</f>
        <v>0</v>
      </c>
      <c r="X15" s="118" t="e">
        <f>ROUNDDOWN(X13/W15,0)</f>
        <v>#NUM!</v>
      </c>
      <c r="Y15" s="118" t="e">
        <f>ROUNDDOWN(Y13/W15,0)</f>
        <v>#NUM!</v>
      </c>
    </row>
    <row r="16" spans="1:26" ht="10.5" customHeight="1" x14ac:dyDescent="0.2">
      <c r="A16" s="118"/>
      <c r="B16" s="118"/>
      <c r="C16" s="118"/>
      <c r="D16" s="118"/>
      <c r="E16" s="118"/>
      <c r="F16" s="118"/>
      <c r="G16" s="118"/>
      <c r="H16" s="118"/>
      <c r="I16" s="118"/>
      <c r="J16" s="118"/>
      <c r="K16" s="118"/>
      <c r="L16" s="118"/>
      <c r="M16" s="118"/>
      <c r="N16" s="118"/>
      <c r="O16" s="118"/>
      <c r="P16" s="630">
        <f>IFERROR(IF(ISNUMBER(S15),S15/E6,0),"أدخل العدد")</f>
        <v>0</v>
      </c>
      <c r="Q16" s="631"/>
      <c r="R16" s="118"/>
      <c r="S16" s="626"/>
      <c r="T16" s="627"/>
    </row>
    <row r="17" spans="1:27" ht="10.5" customHeight="1" thickBot="1" x14ac:dyDescent="0.25">
      <c r="A17" s="118"/>
      <c r="B17" s="118"/>
      <c r="C17" s="118"/>
      <c r="D17" s="118"/>
      <c r="E17" s="118"/>
      <c r="F17" s="118"/>
      <c r="G17" s="118"/>
      <c r="H17" s="118"/>
      <c r="I17" s="118"/>
      <c r="J17" s="118"/>
      <c r="K17" s="118"/>
      <c r="L17" s="118"/>
      <c r="M17" s="118"/>
      <c r="N17" s="118"/>
      <c r="O17" s="118"/>
      <c r="P17" s="632"/>
      <c r="Q17" s="633"/>
      <c r="R17" s="118"/>
      <c r="S17" s="628"/>
      <c r="T17" s="629"/>
      <c r="W17" s="118" t="e">
        <f>Y15*X14</f>
        <v>#NUM!</v>
      </c>
      <c r="Y17" s="118" t="s">
        <v>90</v>
      </c>
    </row>
    <row r="18" spans="1:27" ht="18.75" thickBot="1" x14ac:dyDescent="0.25">
      <c r="A18" s="118"/>
      <c r="B18" s="596" t="s">
        <v>102</v>
      </c>
      <c r="C18" s="597"/>
      <c r="D18" s="597"/>
      <c r="E18" s="597"/>
      <c r="F18" s="597"/>
      <c r="G18" s="597"/>
      <c r="H18" s="597"/>
      <c r="I18" s="597"/>
      <c r="J18" s="597"/>
      <c r="K18" s="597"/>
      <c r="L18" s="597"/>
      <c r="M18" s="597"/>
      <c r="N18" s="598"/>
      <c r="O18" s="118"/>
      <c r="P18" s="118"/>
      <c r="Q18" s="118"/>
      <c r="R18" s="118"/>
      <c r="S18" s="118"/>
      <c r="T18" s="118"/>
      <c r="W18" s="118" t="e">
        <f>X15*Y14</f>
        <v>#NUM!</v>
      </c>
      <c r="Y18" s="118" t="e">
        <f>IF(AND(W17&gt;=0,W18&gt;=0),MAX(W17,W18),"تأكد من المقاس")</f>
        <v>#NUM!</v>
      </c>
    </row>
    <row r="19" spans="1:27" ht="15.75" thickBot="1" x14ac:dyDescent="0.25">
      <c r="A19" s="118"/>
      <c r="B19" s="267" t="s">
        <v>103</v>
      </c>
      <c r="C19" s="257" t="s">
        <v>104</v>
      </c>
      <c r="D19" s="268" t="s">
        <v>105</v>
      </c>
      <c r="E19" s="269" t="s">
        <v>106</v>
      </c>
      <c r="F19" s="267" t="s">
        <v>139</v>
      </c>
      <c r="G19" s="270" t="s">
        <v>71</v>
      </c>
      <c r="H19" s="233" t="s">
        <v>107</v>
      </c>
      <c r="I19" s="271" t="s">
        <v>140</v>
      </c>
      <c r="J19" s="271" t="s">
        <v>141</v>
      </c>
      <c r="K19" s="271" t="s">
        <v>142</v>
      </c>
      <c r="L19" s="267" t="s">
        <v>108</v>
      </c>
      <c r="M19" s="272" t="s">
        <v>109</v>
      </c>
      <c r="N19" s="233" t="s">
        <v>81</v>
      </c>
      <c r="O19" s="118"/>
      <c r="P19" s="599" t="s">
        <v>58</v>
      </c>
      <c r="Q19" s="600"/>
      <c r="R19" s="600"/>
      <c r="S19" s="600"/>
      <c r="T19" s="601"/>
    </row>
    <row r="20" spans="1:27" ht="18.75" thickBot="1" x14ac:dyDescent="0.25">
      <c r="A20" s="118"/>
      <c r="B20" s="273"/>
      <c r="C20" s="261"/>
      <c r="D20" s="246"/>
      <c r="E20" s="274" t="s">
        <v>135</v>
      </c>
      <c r="F20" s="273"/>
      <c r="G20" s="275">
        <f>IF(D15&gt;0,ROUNDUP((D15/AA22)+F24,0),0)</f>
        <v>0</v>
      </c>
      <c r="H20" s="276"/>
      <c r="I20" s="277">
        <f>IFERROR(IF(L20=0,IF(M6="أصل فقط",0,INDEX('أسعار الورق'!$J$3:$J$74,SUMPRODUCT(('أسعار الورق'!$B$3:$B$74=B20)*('أسعار الورق'!$D$3:$D$74=C20)*('أسعار الورق'!$F$3:$F$74=E20)*('أسعار الورق'!$E$3:$E$74=D20)*ROW('أسعار الورق'!$H$3:$H$74))-2,0)),0),0)</f>
        <v>0</v>
      </c>
      <c r="J20" s="277">
        <f>IFERROR(IF(L20=0,IF(M6="أصل وصورتين",INDEX('أسعار الورق'!$K$3:$K$74,SUMPRODUCT(('أسعار الورق'!$B$3:$B$74=B20)*('أسعار الورق'!$D$3:$D$74=C20)*('أسعار الورق'!$F$3:$F$74=E20)*('أسعار الورق'!$E$3:$E$74=D20)*ROW('أسعار الورق'!$H$3:$H$74))-2,0),0),0),0)</f>
        <v>0</v>
      </c>
      <c r="K20" s="277">
        <f>IFERROR(IF(L20=0,IF(M6="أصل فقط",0,INDEX('أسعار الورق'!$L$3:$L$74,SUMPRODUCT(('أسعار الورق'!$B$3:$B$74=B20)*('أسعار الورق'!$D$3:$D$74=C20)*('أسعار الورق'!$F$3:$F$74=E20)*('أسعار الورق'!$E$3:$E$74=D20)*ROW('أسعار الورق'!$H$3:$H$74))-2,0)),0),0)</f>
        <v>0</v>
      </c>
      <c r="L20" s="278">
        <f>IF(OR(M6="أصل وصورتين",M6="أصل فقط"),IFERROR(INDEX('أسعار الورق'!$H$3:$H$74,SUMPRODUCT(('أسعار الورق'!$B$3:$B$74=B20)*('أسعار الورق'!$F$3:$F$74=E20)*('أسعار الورق'!$D$3:$D$74=C20)*('أسعار الورق'!$E$3:$E$74=D20)*ROW('أسعار الورق'!$H$3:$H$74))-2,0),"تأكد من الورق"),0)</f>
        <v>0</v>
      </c>
      <c r="M20" s="279" t="str">
        <f>IFERROR(INDEX('أسعار الورق'!$G$3:$G$74,SUMPRODUCT(('أسعار الورق'!$B$3:$B$74=B20)*('أسعار الورق'!$F$3:$F$74=E20)*('أسعار الورق'!$E$3:$E$74=D20)*ROW('أسعار الورق'!$G$3:$G$74))-2,0),"تأكد من الورق")</f>
        <v>تأكد من الورق</v>
      </c>
      <c r="N20" s="280">
        <f>IF(B24=0,ROUNDUP(IF(L20=0,(I20+K20)*G20,IFERROR(G20*L20,0)),0),0)</f>
        <v>0</v>
      </c>
      <c r="O20" s="127" t="str">
        <f ca="1">IF(B20&lt;&gt;"",CELL("address",INDEX('أسعار الورق'!$H$3:$H$74,SUMPRODUCT(('أسعار الورق'!$B$3:$B$74=B20)*('أسعار الورق'!$D$3:$D$74=C20)*('أسعار الورق'!$F$3:$F$74=E20)*('أسعار الورق'!$E$3:$E$74=D20)*ROW('أسعار الورق'!$H$3:$H$74))-2,0)),"")</f>
        <v/>
      </c>
      <c r="P20" s="281" t="s">
        <v>59</v>
      </c>
      <c r="Q20" s="602" t="s">
        <v>60</v>
      </c>
      <c r="R20" s="603"/>
      <c r="S20" s="604"/>
      <c r="T20" s="282" t="s">
        <v>61</v>
      </c>
    </row>
    <row r="21" spans="1:27" ht="15.75" thickBot="1" x14ac:dyDescent="0.25">
      <c r="A21" s="118"/>
      <c r="B21" s="118"/>
      <c r="C21" s="118"/>
      <c r="D21" s="118"/>
      <c r="E21" s="118"/>
      <c r="F21" s="118"/>
      <c r="G21" s="118"/>
      <c r="H21" s="118"/>
      <c r="I21" s="118"/>
      <c r="J21" s="118"/>
      <c r="K21" s="118"/>
      <c r="L21" s="118"/>
      <c r="M21" s="118"/>
      <c r="N21" s="118"/>
      <c r="O21" s="118"/>
      <c r="P21" s="283">
        <f>مطبوعات!N23</f>
        <v>0</v>
      </c>
      <c r="Q21" s="468">
        <f>مطبوعات!P23</f>
        <v>0</v>
      </c>
      <c r="R21" s="469"/>
      <c r="S21" s="470"/>
      <c r="T21" s="284">
        <f>مطبوعات!S23</f>
        <v>0</v>
      </c>
      <c r="W21" s="118" t="s">
        <v>139</v>
      </c>
      <c r="X21" s="118" t="s">
        <v>38</v>
      </c>
      <c r="Y21" s="118" t="s">
        <v>39</v>
      </c>
      <c r="Z21" s="118" t="s">
        <v>143</v>
      </c>
      <c r="AA21" s="118" t="s">
        <v>144</v>
      </c>
    </row>
    <row r="22" spans="1:27" ht="18.75" thickBot="1" x14ac:dyDescent="0.25">
      <c r="A22" s="118"/>
      <c r="B22" s="607" t="s">
        <v>145</v>
      </c>
      <c r="C22" s="608"/>
      <c r="D22" s="609"/>
      <c r="E22" s="118"/>
      <c r="F22" s="613" t="s">
        <v>146</v>
      </c>
      <c r="G22" s="118"/>
      <c r="H22" s="615" t="s">
        <v>147</v>
      </c>
      <c r="I22" s="616"/>
      <c r="J22" s="118"/>
      <c r="K22" s="615" t="s">
        <v>126</v>
      </c>
      <c r="L22" s="617"/>
      <c r="M22" s="617"/>
      <c r="N22" s="616"/>
      <c r="O22" s="118"/>
      <c r="P22" s="285">
        <f>مطبوعات!N24</f>
        <v>0</v>
      </c>
      <c r="Q22" s="446">
        <f>مطبوعات!P24</f>
        <v>0</v>
      </c>
      <c r="R22" s="447"/>
      <c r="S22" s="448"/>
      <c r="T22" s="286">
        <f>مطبوعات!S24</f>
        <v>0</v>
      </c>
      <c r="W22" s="118" t="s">
        <v>148</v>
      </c>
      <c r="X22" s="118">
        <v>29</v>
      </c>
      <c r="Y22" s="118">
        <v>19</v>
      </c>
      <c r="Z22" s="118">
        <v>11</v>
      </c>
      <c r="AA22" s="118" t="e">
        <f>DGET(W21:Z27,Z21,F19:F20)</f>
        <v>#NUM!</v>
      </c>
    </row>
    <row r="23" spans="1:27" ht="15.75" thickBot="1" x14ac:dyDescent="0.25">
      <c r="A23" s="118"/>
      <c r="B23" s="610"/>
      <c r="C23" s="611"/>
      <c r="D23" s="612"/>
      <c r="E23" s="118"/>
      <c r="F23" s="614"/>
      <c r="G23" s="118"/>
      <c r="H23" s="287" t="s">
        <v>149</v>
      </c>
      <c r="I23" s="288"/>
      <c r="J23" s="118"/>
      <c r="K23" s="605" t="s">
        <v>60</v>
      </c>
      <c r="L23" s="606"/>
      <c r="M23" s="289" t="s">
        <v>71</v>
      </c>
      <c r="N23" s="290" t="s">
        <v>127</v>
      </c>
      <c r="O23" s="118"/>
      <c r="P23" s="224">
        <f>مطبوعات!N25</f>
        <v>0</v>
      </c>
      <c r="Q23" s="577">
        <f>مطبوعات!P25</f>
        <v>0</v>
      </c>
      <c r="R23" s="578"/>
      <c r="S23" s="579"/>
      <c r="T23" s="225">
        <f>مطبوعات!S25</f>
        <v>0</v>
      </c>
      <c r="W23" s="118" t="s">
        <v>150</v>
      </c>
      <c r="X23" s="118">
        <v>32</v>
      </c>
      <c r="Y23" s="118">
        <v>22</v>
      </c>
      <c r="Z23" s="118">
        <v>9</v>
      </c>
    </row>
    <row r="24" spans="1:27" ht="15.75" x14ac:dyDescent="0.2">
      <c r="A24" s="118"/>
      <c r="B24" s="580"/>
      <c r="C24" s="581"/>
      <c r="D24" s="582"/>
      <c r="E24" s="118"/>
      <c r="F24" s="586"/>
      <c r="G24" s="118"/>
      <c r="H24" s="588" t="s">
        <v>67</v>
      </c>
      <c r="I24" s="590">
        <f>IF(B24=0,I23*E6,0)</f>
        <v>0</v>
      </c>
      <c r="J24" s="118"/>
      <c r="K24" s="592"/>
      <c r="L24" s="593"/>
      <c r="M24" s="291"/>
      <c r="N24" s="292"/>
      <c r="O24" s="118"/>
      <c r="P24" s="118"/>
      <c r="Q24" s="118"/>
      <c r="R24" s="118"/>
      <c r="S24" s="118"/>
      <c r="T24" s="118"/>
      <c r="W24" s="118" t="s">
        <v>151</v>
      </c>
      <c r="X24" s="118">
        <v>34</v>
      </c>
      <c r="Y24" s="118">
        <v>24</v>
      </c>
      <c r="Z24" s="118">
        <v>8</v>
      </c>
    </row>
    <row r="25" spans="1:27" ht="16.5" thickBot="1" x14ac:dyDescent="0.25">
      <c r="A25" s="118"/>
      <c r="B25" s="583"/>
      <c r="C25" s="584"/>
      <c r="D25" s="585"/>
      <c r="E25" s="118"/>
      <c r="F25" s="587"/>
      <c r="G25" s="118"/>
      <c r="H25" s="589"/>
      <c r="I25" s="591"/>
      <c r="J25" s="118"/>
      <c r="K25" s="594"/>
      <c r="L25" s="595"/>
      <c r="M25" s="294"/>
      <c r="N25" s="293"/>
      <c r="O25" s="118"/>
      <c r="P25" s="118"/>
      <c r="Q25" s="118"/>
      <c r="R25" s="118"/>
      <c r="S25" s="118"/>
      <c r="T25" s="118"/>
      <c r="W25" s="118" t="s">
        <v>152</v>
      </c>
      <c r="X25" s="118">
        <v>39</v>
      </c>
      <c r="Y25" s="118">
        <v>29</v>
      </c>
      <c r="Z25" s="118">
        <v>5</v>
      </c>
    </row>
    <row r="26" spans="1:27" x14ac:dyDescent="0.2">
      <c r="W26" s="118" t="s">
        <v>153</v>
      </c>
      <c r="X26" s="118">
        <v>48</v>
      </c>
      <c r="Y26" s="118">
        <v>33</v>
      </c>
      <c r="Z26" s="118">
        <v>4</v>
      </c>
    </row>
    <row r="27" spans="1:27" x14ac:dyDescent="0.2">
      <c r="W27" s="118" t="s">
        <v>154</v>
      </c>
      <c r="X27" s="118">
        <v>68</v>
      </c>
      <c r="Y27" s="118">
        <v>48</v>
      </c>
      <c r="Z27" s="118">
        <v>2</v>
      </c>
    </row>
    <row r="28" spans="1:27" x14ac:dyDescent="0.2">
      <c r="O28" s="47"/>
    </row>
    <row r="29" spans="1:27" x14ac:dyDescent="0.2">
      <c r="O29" s="47"/>
      <c r="W29" s="118" t="s">
        <v>72</v>
      </c>
      <c r="X29" s="118" t="s">
        <v>38</v>
      </c>
      <c r="Y29" s="118" t="s">
        <v>39</v>
      </c>
    </row>
    <row r="30" spans="1:27" x14ac:dyDescent="0.2">
      <c r="W30" s="118" t="s">
        <v>155</v>
      </c>
      <c r="X30" s="118">
        <v>14</v>
      </c>
      <c r="Y30" s="118">
        <v>9</v>
      </c>
    </row>
    <row r="31" spans="1:27" x14ac:dyDescent="0.2">
      <c r="W31" s="118" t="s">
        <v>156</v>
      </c>
      <c r="X31" s="118">
        <v>17</v>
      </c>
      <c r="Y31" s="118">
        <v>8</v>
      </c>
    </row>
    <row r="32" spans="1:27" x14ac:dyDescent="0.2">
      <c r="W32" s="118" t="s">
        <v>157</v>
      </c>
      <c r="X32" s="118">
        <v>16</v>
      </c>
      <c r="Y32" s="118">
        <v>11</v>
      </c>
    </row>
    <row r="33" spans="23:25" x14ac:dyDescent="0.2">
      <c r="W33" s="118" t="s">
        <v>158</v>
      </c>
      <c r="X33" s="118">
        <v>19</v>
      </c>
      <c r="Y33" s="118">
        <v>14</v>
      </c>
    </row>
    <row r="34" spans="23:25" x14ac:dyDescent="0.2">
      <c r="W34" s="118" t="s">
        <v>159</v>
      </c>
      <c r="X34" s="118">
        <v>22</v>
      </c>
      <c r="Y34" s="118">
        <v>16</v>
      </c>
    </row>
    <row r="35" spans="23:25" x14ac:dyDescent="0.2">
      <c r="W35" s="118" t="s">
        <v>160</v>
      </c>
      <c r="X35" s="118">
        <v>29</v>
      </c>
      <c r="Y35" s="118">
        <v>19</v>
      </c>
    </row>
    <row r="36" spans="23:25" x14ac:dyDescent="0.2">
      <c r="W36" s="118" t="s">
        <v>161</v>
      </c>
      <c r="X36" s="118">
        <v>32</v>
      </c>
      <c r="Y36" s="118">
        <v>22</v>
      </c>
    </row>
    <row r="37" spans="23:25" x14ac:dyDescent="0.2">
      <c r="W37" s="118" t="s">
        <v>162</v>
      </c>
      <c r="X37" s="118">
        <v>39</v>
      </c>
      <c r="Y37" s="118">
        <v>29</v>
      </c>
    </row>
  </sheetData>
  <dataConsolidate/>
  <mergeCells count="60">
    <mergeCell ref="E1:K2"/>
    <mergeCell ref="P2:Q2"/>
    <mergeCell ref="S2:T3"/>
    <mergeCell ref="P3:Q4"/>
    <mergeCell ref="B4:G4"/>
    <mergeCell ref="I4:N4"/>
    <mergeCell ref="J10:K10"/>
    <mergeCell ref="M10:N10"/>
    <mergeCell ref="P10:Q10"/>
    <mergeCell ref="B5:D5"/>
    <mergeCell ref="F5:G5"/>
    <mergeCell ref="I5:J5"/>
    <mergeCell ref="M5:N5"/>
    <mergeCell ref="B6:D6"/>
    <mergeCell ref="F6:G6"/>
    <mergeCell ref="I6:J6"/>
    <mergeCell ref="K6:K8"/>
    <mergeCell ref="L6:L8"/>
    <mergeCell ref="M6:N8"/>
    <mergeCell ref="P6:Q6"/>
    <mergeCell ref="P7:Q8"/>
    <mergeCell ref="B8:G8"/>
    <mergeCell ref="I9:L9"/>
    <mergeCell ref="M9:N9"/>
    <mergeCell ref="W11:Y11"/>
    <mergeCell ref="B12:N12"/>
    <mergeCell ref="P12:P13"/>
    <mergeCell ref="Q12:Q13"/>
    <mergeCell ref="B13:C13"/>
    <mergeCell ref="D13:D14"/>
    <mergeCell ref="E13:E14"/>
    <mergeCell ref="F13:F14"/>
    <mergeCell ref="G13:H13"/>
    <mergeCell ref="I13:L13"/>
    <mergeCell ref="M13:N14"/>
    <mergeCell ref="S13:T14"/>
    <mergeCell ref="G14:H15"/>
    <mergeCell ref="I14:J14"/>
    <mergeCell ref="I15:J15"/>
    <mergeCell ref="M15:N15"/>
    <mergeCell ref="P15:Q15"/>
    <mergeCell ref="S15:T17"/>
    <mergeCell ref="P16:Q17"/>
    <mergeCell ref="B18:N18"/>
    <mergeCell ref="P19:T19"/>
    <mergeCell ref="Q20:S20"/>
    <mergeCell ref="Q21:S21"/>
    <mergeCell ref="B22:D23"/>
    <mergeCell ref="F22:F23"/>
    <mergeCell ref="H22:I22"/>
    <mergeCell ref="K22:N22"/>
    <mergeCell ref="Q22:S22"/>
    <mergeCell ref="K23:L23"/>
    <mergeCell ref="Q23:S23"/>
    <mergeCell ref="B24:D25"/>
    <mergeCell ref="F24:F25"/>
    <mergeCell ref="H24:H25"/>
    <mergeCell ref="I24:I25"/>
    <mergeCell ref="K24:L24"/>
    <mergeCell ref="K25:L25"/>
  </mergeCells>
  <conditionalFormatting sqref="M20">
    <cfRule type="expression" dxfId="79" priority="14">
      <formula>$M$20=0</formula>
    </cfRule>
  </conditionalFormatting>
  <conditionalFormatting sqref="L20">
    <cfRule type="expression" dxfId="78" priority="13">
      <formula>$M$21="تأكد من الورق"</formula>
    </cfRule>
  </conditionalFormatting>
  <conditionalFormatting sqref="J10">
    <cfRule type="expression" dxfId="77" priority="12">
      <formula>$J$10="تأكد من المقاس"</formula>
    </cfRule>
  </conditionalFormatting>
  <conditionalFormatting sqref="C14:C15">
    <cfRule type="expression" dxfId="76" priority="11">
      <formula>AND($K$6="وجه واحد",$C$15=0)</formula>
    </cfRule>
  </conditionalFormatting>
  <conditionalFormatting sqref="P12">
    <cfRule type="expression" dxfId="75" priority="10">
      <formula>$P$12=0</formula>
    </cfRule>
  </conditionalFormatting>
  <conditionalFormatting sqref="P16">
    <cfRule type="expression" dxfId="74" priority="9">
      <formula>#REF!="أدخل العدد"</formula>
    </cfRule>
  </conditionalFormatting>
  <conditionalFormatting sqref="I23">
    <cfRule type="expression" dxfId="73" priority="8">
      <formula>$I$23=0</formula>
    </cfRule>
  </conditionalFormatting>
  <conditionalFormatting sqref="F20">
    <cfRule type="expression" dxfId="72" priority="7">
      <formula>$F$20=0</formula>
    </cfRule>
  </conditionalFormatting>
  <conditionalFormatting sqref="B15">
    <cfRule type="expression" dxfId="71" priority="6">
      <formula>$B$15=0</formula>
    </cfRule>
  </conditionalFormatting>
  <conditionalFormatting sqref="L6:L8">
    <cfRule type="expression" dxfId="70" priority="5">
      <formula>$L$6=0</formula>
    </cfRule>
  </conditionalFormatting>
  <conditionalFormatting sqref="E6">
    <cfRule type="expression" dxfId="69" priority="4">
      <formula>$E$6=0</formula>
    </cfRule>
  </conditionalFormatting>
  <conditionalFormatting sqref="T21:T23">
    <cfRule type="expression" dxfId="68" priority="3">
      <formula>T21&gt;0</formula>
    </cfRule>
  </conditionalFormatting>
  <conditionalFormatting sqref="C19:C20">
    <cfRule type="expression" dxfId="67" priority="2">
      <formula>AND($B$20="مكربن",$C$20="")</formula>
    </cfRule>
  </conditionalFormatting>
  <conditionalFormatting sqref="N2">
    <cfRule type="expression" dxfId="66" priority="15">
      <formula>$Y$9=TRUE</formula>
    </cfRule>
  </conditionalFormatting>
  <conditionalFormatting sqref="C2">
    <cfRule type="expression" dxfId="65" priority="1">
      <formula>$C$2="تأكد"</formula>
    </cfRule>
  </conditionalFormatting>
  <dataValidations count="10">
    <dataValidation type="list" allowBlank="1" showInputMessage="1" showErrorMessage="1" sqref="C10 K15" xr:uid="{00000000-0002-0000-0300-000000000000}">
      <formula1>Mkn_Sizes</formula1>
    </dataValidation>
    <dataValidation type="list" allowBlank="1" showInputMessage="1" showErrorMessage="1" sqref="D10 I15:J15" xr:uid="{00000000-0002-0000-0300-000001000000}">
      <formula1>Offset_presses</formula1>
    </dataValidation>
    <dataValidation type="list" allowBlank="1" showInputMessage="1" showErrorMessage="1" sqref="M6:N8" xr:uid="{00000000-0002-0000-0300-000002000000}">
      <formula1>"أصل فقط,أصل وصورة,أصل وصورتين"</formula1>
    </dataValidation>
    <dataValidation type="list" allowBlank="1" showInputMessage="1" showErrorMessage="1" sqref="K6:K8" xr:uid="{00000000-0002-0000-0300-000003000000}">
      <formula1>"وجه واحد,وجهين"</formula1>
    </dataValidation>
    <dataValidation type="list" allowBlank="1" showInputMessage="1" showErrorMessage="1" sqref="F20" xr:uid="{00000000-0002-0000-0300-000004000000}">
      <formula1>$W$22:$W$27</formula1>
    </dataValidation>
    <dataValidation type="whole" operator="greaterThan" allowBlank="1" showInputMessage="1" showErrorMessage="1" sqref="E6" xr:uid="{00000000-0002-0000-0300-000005000000}">
      <formula1>0</formula1>
    </dataValidation>
    <dataValidation type="list" allowBlank="1" showInputMessage="1" showErrorMessage="1" sqref="B20" xr:uid="{00000000-0002-0000-0300-000006000000}">
      <formula1>$X$8:$X$9</formula1>
    </dataValidation>
    <dataValidation type="list" allowBlank="1" showInputMessage="1" showErrorMessage="1" sqref="I6:J6" xr:uid="{00000000-0002-0000-0300-000007000000}">
      <formula1>$W$30:$W$37</formula1>
    </dataValidation>
    <dataValidation type="list" allowBlank="1" showInputMessage="1" showErrorMessage="1" sqref="E20" xr:uid="{00000000-0002-0000-0300-000008000000}">
      <formula1>Papers_ma5zan</formula1>
    </dataValidation>
    <dataValidation type="list" allowBlank="1" showInputMessage="1" showErrorMessage="1" sqref="D20" xr:uid="{00000000-0002-0000-0300-000009000000}">
      <formula1>Papers_Origin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Check Box 1">
              <controlPr defaultSize="0" autoFill="0" autoLine="0" autoPict="0">
                <anchor moveWithCells="1">
                  <from>
                    <xdr:col>13</xdr:col>
                    <xdr:colOff>542925</xdr:colOff>
                    <xdr:row>1</xdr:row>
                    <xdr:rowOff>9525</xdr:rowOff>
                  </from>
                  <to>
                    <xdr:col>13</xdr:col>
                    <xdr:colOff>733425</xdr:colOff>
                    <xdr:row>2</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V27"/>
  <sheetViews>
    <sheetView showZeros="0" rightToLeft="1" zoomScale="120" zoomScaleNormal="120" workbookViewId="0">
      <selection activeCell="B3" sqref="B3 C3 D3 B4 C4 D4 B5 C5 D5 B6 C6 D6 B7 C7 D7 B8 C8 D8 B9 C9 D9 B10 C10 D10 B11 C11 D11 B12 C12 D12 B13 C13 D13 B14 C14 D14 B15 C15 D15 B16 C16 D16 B17 C17 D17 B18 C18 D18 B19 C19 D19 B20 C20 D20 B21 C21 D21"/>
    </sheetView>
  </sheetViews>
  <sheetFormatPr defaultColWidth="9" defaultRowHeight="14.25" x14ac:dyDescent="0.2"/>
  <cols>
    <col min="1" max="1" width="9" style="46"/>
    <col min="2" max="2" width="25.625" customWidth="1"/>
    <col min="3" max="3" width="20.625" customWidth="1"/>
    <col min="4" max="6" width="13.375" customWidth="1"/>
    <col min="7" max="7" width="13.25" bestFit="1" customWidth="1"/>
    <col min="8" max="8" width="9" style="46"/>
    <col min="9" max="9" width="23.625" style="46" hidden="1" customWidth="1"/>
    <col min="10" max="10" width="19.375" style="46" hidden="1" customWidth="1"/>
    <col min="11" max="11" width="16.75" style="46" hidden="1" customWidth="1"/>
    <col min="12" max="12" width="9" style="46" hidden="1" customWidth="1"/>
    <col min="13" max="13" width="10.75" style="46" hidden="1" customWidth="1"/>
    <col min="14" max="14" width="14.75" style="46" hidden="1" customWidth="1"/>
    <col min="15" max="15" width="10.875" style="46" hidden="1" customWidth="1"/>
    <col min="16" max="18" width="8" style="46" customWidth="1"/>
    <col min="19" max="20" width="11.25" style="46" customWidth="1"/>
    <col min="21" max="57" width="9" style="46" customWidth="1"/>
    <col min="58" max="16384" width="9" style="46"/>
  </cols>
  <sheetData>
    <row r="1" spans="2:22" ht="15" thickBot="1" x14ac:dyDescent="0.25"/>
    <row r="2" spans="2:22" ht="24" thickBot="1" x14ac:dyDescent="0.25">
      <c r="B2" s="189" t="s">
        <v>59</v>
      </c>
      <c r="C2" s="190" t="s">
        <v>60</v>
      </c>
      <c r="D2" s="190" t="s">
        <v>81</v>
      </c>
      <c r="E2" s="191" t="s">
        <v>234</v>
      </c>
      <c r="F2" s="192" t="s">
        <v>235</v>
      </c>
      <c r="G2" s="193" t="s">
        <v>61</v>
      </c>
      <c r="I2" s="194" t="s">
        <v>59</v>
      </c>
      <c r="J2" s="194" t="s">
        <v>236</v>
      </c>
      <c r="K2" s="194" t="s">
        <v>81</v>
      </c>
      <c r="M2" s="722" t="s">
        <v>237</v>
      </c>
      <c r="N2" s="723"/>
      <c r="O2" s="724"/>
    </row>
    <row r="3" spans="2:22" ht="16.5" thickBot="1" x14ac:dyDescent="0.25">
      <c r="B3" s="204"/>
      <c r="C3" s="214"/>
      <c r="D3" s="195"/>
      <c r="E3" s="196"/>
      <c r="F3" s="196"/>
      <c r="G3" s="197">
        <f>IFERROR(Mowrden[[#This Row],[التكلفة]]-E3-F3,0)</f>
        <v>0</v>
      </c>
      <c r="I3" s="198" t="str">
        <f>$M$5</f>
        <v>الشامي</v>
      </c>
      <c r="J3" s="199" t="str">
        <f>CONCATENATE("عدد ",IF($M$5=$M$6,$N$5+$N$6,$N$5)," تراج")</f>
        <v>عدد 4 تراج</v>
      </c>
      <c r="K3" s="200">
        <f>IF($M$5=$M$6,$O$5+$O$6,$O$5)</f>
        <v>400</v>
      </c>
      <c r="M3" s="201" t="s">
        <v>59</v>
      </c>
      <c r="N3" s="202" t="s">
        <v>236</v>
      </c>
      <c r="O3" s="203" t="s">
        <v>81</v>
      </c>
    </row>
    <row r="4" spans="2:22" ht="18.75" thickBot="1" x14ac:dyDescent="0.25">
      <c r="E4" s="196"/>
      <c r="F4" s="196"/>
      <c r="G4" s="197">
        <f>IFERROR(Mowrden[[#This Row],[التكلفة]]-E4-F4,0)</f>
        <v>0</v>
      </c>
      <c r="I4" s="204">
        <f>IF($M$5=$M$6,0,$M$6)</f>
        <v>0</v>
      </c>
      <c r="J4" s="205">
        <f>IF('حسابات الموردين'!$K4&gt;0,CONCATENATE("عدد ",IF($M$5=$M$6,0,$N$6)," تراج"),0)</f>
        <v>0</v>
      </c>
      <c r="K4" s="195">
        <f>IF($M$5=$M$6,0,$O$6)</f>
        <v>0</v>
      </c>
      <c r="M4" s="719" t="s">
        <v>238</v>
      </c>
      <c r="N4" s="720"/>
      <c r="O4" s="721"/>
    </row>
    <row r="5" spans="2:22" ht="15.75" x14ac:dyDescent="0.2">
      <c r="E5" s="196"/>
      <c r="F5" s="196"/>
      <c r="G5" s="197">
        <f>IFERROR(Mowrden[[#This Row],[التكلفة]]-E5-F5,0)</f>
        <v>0</v>
      </c>
      <c r="I5" s="204">
        <f>$M$7</f>
        <v>0</v>
      </c>
      <c r="J5" s="205" t="str">
        <f>IF($N$7=0,"",CONCATENATE("عدد ",$N$7," تراج"))</f>
        <v/>
      </c>
      <c r="K5" s="205" t="str">
        <f>IF($O$7=0,"",CONCATENATE("عدد ",$N$7," تراج"))</f>
        <v/>
      </c>
      <c r="M5" s="206" t="str">
        <f>'تسعير أوفست'!I13</f>
        <v>الشامي</v>
      </c>
      <c r="N5" s="46">
        <f>'تسعير أوفست'!F13</f>
        <v>4</v>
      </c>
      <c r="O5" s="207">
        <f>'تسعير أوفست'!L13+'تسعير أوفست'!E21</f>
        <v>400</v>
      </c>
    </row>
    <row r="6" spans="2:22" ht="15.75" x14ac:dyDescent="0.2">
      <c r="E6" s="196"/>
      <c r="F6" s="196"/>
      <c r="G6" s="197">
        <f>IFERROR(Mowrden[[#This Row],[التكلفة]]-E6-F6,0)</f>
        <v>0</v>
      </c>
      <c r="I6" s="204">
        <f>$M$9</f>
        <v>0</v>
      </c>
      <c r="J6" s="205" t="str">
        <f>IF($N$9=0,"",CONCATENATE("عدد ",$N$9," ربع"))</f>
        <v/>
      </c>
      <c r="K6" s="195">
        <f>$O$9</f>
        <v>0</v>
      </c>
      <c r="M6" s="206">
        <f>IF(O6&gt;0,'تسعير أوفست داخلي'!I13,0)</f>
        <v>0</v>
      </c>
      <c r="N6" s="46">
        <f>'تسعير أوفست داخلي'!F13</f>
        <v>0</v>
      </c>
      <c r="O6" s="208">
        <f>'تسعير أوفست داخلي'!L13+'تسعير أوفست داخلي'!E21</f>
        <v>0</v>
      </c>
    </row>
    <row r="7" spans="2:22" ht="16.5" thickBot="1" x14ac:dyDescent="0.25">
      <c r="E7" s="209"/>
      <c r="F7" s="209"/>
      <c r="G7" s="197">
        <f>IFERROR(Mowrden[[#This Row],[التكلفة]]-E7-F7,0)</f>
        <v>0</v>
      </c>
      <c r="I7" s="204" t="str">
        <f>$M$11</f>
        <v>أبو ليل</v>
      </c>
      <c r="J7" s="210" t="str">
        <f>$N$11</f>
        <v>عدد 4 زنك</v>
      </c>
      <c r="K7" s="195">
        <f>$O$11</f>
        <v>300</v>
      </c>
      <c r="M7" s="206">
        <f>IF(MainSht!A1="دفاتر",دفاتر!I15,0)</f>
        <v>0</v>
      </c>
      <c r="N7" s="46">
        <f>IF(MainSht!A1="دفاتر",دفاتر!F15,0)</f>
        <v>0</v>
      </c>
      <c r="O7" s="208">
        <f>دفاتر!M15</f>
        <v>0</v>
      </c>
    </row>
    <row r="8" spans="2:22" ht="18.75" thickBot="1" x14ac:dyDescent="0.25">
      <c r="E8" s="209"/>
      <c r="F8" s="209"/>
      <c r="G8" s="197">
        <f>IFERROR(Mowrden[[#This Row],[التكلفة]]-E8-F8,0)</f>
        <v>0</v>
      </c>
      <c r="I8" s="204" t="str">
        <f>$M$13</f>
        <v>أبو شوشة</v>
      </c>
      <c r="J8" s="211" t="str">
        <f>IF(O13=0,$N$14,IF(O14=0,$N$13,IF(M13=M14,CONCATENATE($N$13," و ",$N$14),N13)))</f>
        <v>75 فرخ كوشيه300</v>
      </c>
      <c r="K8" s="195">
        <f>IF($M$13=$M$14,$O$13+$O$14,$O$13)</f>
        <v>938</v>
      </c>
      <c r="M8" s="719" t="s">
        <v>239</v>
      </c>
      <c r="N8" s="720"/>
      <c r="O8" s="721"/>
    </row>
    <row r="9" spans="2:22" ht="16.5" thickBot="1" x14ac:dyDescent="0.25">
      <c r="E9" s="209"/>
      <c r="F9" s="209"/>
      <c r="G9" s="197">
        <f>IFERROR(Mowrden[[#This Row],[التكلفة]]-E9-F9,0)</f>
        <v>0</v>
      </c>
      <c r="I9" s="204">
        <f>IF($M$13=$M$14,0,$M$14)</f>
        <v>0</v>
      </c>
      <c r="J9" s="205" t="str">
        <f>IF($M$13=$M$14,0,$N$14)</f>
        <v>0 فرخ طبع80</v>
      </c>
      <c r="K9" s="195">
        <f>IF($M$13=$M$14,0,$O$14)</f>
        <v>0</v>
      </c>
      <c r="M9" s="206">
        <f>IF(مطبوعات!B11="ديجيتال",IF(O9&gt;0,'تسعير ديجيتال'!D13,0),0)</f>
        <v>0</v>
      </c>
      <c r="N9" s="46">
        <f>IF(AND(مطبوعات!B11="ديجيتال",مطبوعات!B17="ديجيتال"),'تسعير ديجيتال'!B13+'تسعير ديجيتال داخلي'!B13,IF(مطبوعات!B11="ديجيتال",'تسعير ديجيتال'!B13,IF(مطبوعات!B17="ديجيتال",'تسعير ديجيتال داخلي'!B13,0)))</f>
        <v>0</v>
      </c>
      <c r="O9" s="207">
        <f>IF(مطبوعات!B11="ديجيتال",'تسعير ديجيتال'!H13+'تسعير ديجيتال'!H18+'تسعير ديجيتال'!L12+'تسعير ديجيتال'!M12+'تسعير ديجيتال'!N12+('تسعير ديجيتال'!O18*'تسعير ديجيتال'!N18)+('تسعير ديجيتال'!O19*'تسعير ديجيتال'!N19)+'تسعير ديجيتال داخلي'!H13+'تسعير ديجيتال داخلي'!H18+'تسعير ديجيتال داخلي'!L12+'تسعير ديجيتال داخلي'!M12+'تسعير ديجيتال داخلي'!N12+('تسعير ديجيتال داخلي'!O18*'تسعير ديجيتال داخلي'!N18)+('تسعير ديجيتال داخلي'!O19*'تسعير ديجيتال داخلي'!N19),0)</f>
        <v>0</v>
      </c>
    </row>
    <row r="10" spans="2:22" ht="18.75" thickBot="1" x14ac:dyDescent="0.25">
      <c r="E10" s="209"/>
      <c r="F10" s="209"/>
      <c r="G10" s="197">
        <f>IFERROR(Mowrden[[#This Row],[التكلفة]]-E10-F10,0)</f>
        <v>0</v>
      </c>
      <c r="I10" s="204">
        <f>$M$15</f>
        <v>0</v>
      </c>
      <c r="J10" s="212">
        <f>N15</f>
        <v>0</v>
      </c>
      <c r="K10" s="195">
        <f>O15</f>
        <v>0</v>
      </c>
      <c r="M10" s="719" t="s">
        <v>240</v>
      </c>
      <c r="N10" s="720"/>
      <c r="O10" s="721"/>
    </row>
    <row r="11" spans="2:22" ht="16.5" thickBot="1" x14ac:dyDescent="0.25">
      <c r="E11" s="209"/>
      <c r="F11" s="209"/>
      <c r="G11" s="197">
        <f>IFERROR(Mowrden[[#This Row],[التكلفة]]-E11-F11,0)</f>
        <v>0</v>
      </c>
      <c r="I11" s="204" t="str">
        <f>IF($K$11=0,0,$M$17)</f>
        <v>عبد الستار</v>
      </c>
      <c r="J11" s="212" t="str">
        <f>IF($K$11=0,0,$N$17)</f>
        <v>س. مط وجهين</v>
      </c>
      <c r="K11" s="195">
        <f>$O$17</f>
        <v>450</v>
      </c>
      <c r="M11" s="206" t="str">
        <f>IF('تسعير أوفست'!G8&gt;0,'تسعير أوفست'!D8,IF('تسعير أوفست داخلي'!G8&gt;0,'تسعير أوفست داخلي'!D8,IF(دفاتر!G10&gt;0,دفاتر!D10,0)))</f>
        <v>أبو ليل</v>
      </c>
      <c r="N11" s="213" t="str">
        <f>CONCATENATE("عدد ",'تسعير أوفست'!B8+'تسعير أوفست داخلي'!B8+دفاتر!B10," زنك")</f>
        <v>عدد 4 زنك</v>
      </c>
      <c r="O11" s="207">
        <f>'تسعير أوفست'!G8+'تسعير أوفست داخلي'!G8+دفاتر!G10</f>
        <v>300</v>
      </c>
    </row>
    <row r="12" spans="2:22" ht="18.75" thickBot="1" x14ac:dyDescent="0.25">
      <c r="E12" s="209"/>
      <c r="F12" s="209"/>
      <c r="G12" s="197">
        <f>IFERROR(Mowrden[[#This Row],[التكلفة]]-E12-F12,0)</f>
        <v>0</v>
      </c>
      <c r="I12" s="204">
        <f>IF($K$12=0,0,$M$18)</f>
        <v>0</v>
      </c>
      <c r="J12" s="212">
        <f>IF($K$12=0,0,$N$18)</f>
        <v>0</v>
      </c>
      <c r="K12" s="195">
        <f>$O$18</f>
        <v>0</v>
      </c>
      <c r="M12" s="719" t="s">
        <v>241</v>
      </c>
      <c r="N12" s="720"/>
      <c r="O12" s="721"/>
    </row>
    <row r="13" spans="2:22" ht="15.75" x14ac:dyDescent="0.2">
      <c r="E13" s="209"/>
      <c r="F13" s="209"/>
      <c r="G13" s="197">
        <f>IFERROR(Mowrden[[#This Row],[التكلفة]]-E13-F13,0)</f>
        <v>0</v>
      </c>
      <c r="I13" s="204">
        <f>IF($K$13=0,0,$M$19)</f>
        <v>0</v>
      </c>
      <c r="J13" s="212">
        <f>IF($K$13=0,0,$N$19)</f>
        <v>0</v>
      </c>
      <c r="K13" s="195">
        <f>$O$19</f>
        <v>0</v>
      </c>
      <c r="M13" s="206" t="str">
        <f>'تسعير أوفست'!F17</f>
        <v>أبو شوشة</v>
      </c>
      <c r="N13" s="205" t="str">
        <f>IF(O13&gt;0,CONCATENATE('تسعير أوفست'!G17," فرخ ",'تسعير أوفست'!B17, 'تسعير أوفست'!D17),0)</f>
        <v>75 فرخ كوشيه300</v>
      </c>
      <c r="O13" s="207">
        <f>'تسعير أوفست'!L17+'تسعير أوفست'!H17</f>
        <v>938</v>
      </c>
    </row>
    <row r="14" spans="2:22" ht="16.5" thickBot="1" x14ac:dyDescent="0.25">
      <c r="E14" s="209"/>
      <c r="F14" s="209"/>
      <c r="G14" s="197">
        <f>IFERROR(Mowrden[[#This Row],[التكلفة]]-E14-F14,0)</f>
        <v>0</v>
      </c>
      <c r="I14" s="204">
        <f>IF($K$14=0,0,$M$20)</f>
        <v>0</v>
      </c>
      <c r="J14" s="214">
        <f>IF($K$14=0,0,$N$20)</f>
        <v>0</v>
      </c>
      <c r="K14" s="195">
        <f>$O$20</f>
        <v>0</v>
      </c>
      <c r="M14" s="206">
        <f>IF(O14&gt;0,'تسعير أوفست داخلي'!F17,0)</f>
        <v>0</v>
      </c>
      <c r="N14" s="205" t="str">
        <f>CONCATENATE('تسعير أوفست داخلي'!G17," فرخ ",'تسعير أوفست داخلي'!B17, 'تسعير أوفست داخلي'!D17)</f>
        <v>0 فرخ طبع80</v>
      </c>
      <c r="O14" s="215">
        <f>'تسعير أوفست داخلي'!L17+'تسعير أوفست داخلي'!H17</f>
        <v>0</v>
      </c>
    </row>
    <row r="15" spans="2:22" ht="16.5" thickBot="1" x14ac:dyDescent="0.25">
      <c r="E15" s="209"/>
      <c r="F15" s="209"/>
      <c r="G15" s="197">
        <f>IFERROR(Mowrden[[#This Row],[التكلفة]]-E15-F15,0)</f>
        <v>0</v>
      </c>
      <c r="I15" s="204">
        <f>IF($K$15=0,0,$M$21)</f>
        <v>0</v>
      </c>
      <c r="J15" s="345">
        <f>IF($K$15=0,0,CONCATENATE($N$21," قطعة / الفورمة"))</f>
        <v>0</v>
      </c>
      <c r="K15" s="195">
        <f>$O$21</f>
        <v>0</v>
      </c>
      <c r="M15" s="206">
        <f>IF(O15&gt;0,دفاتر!E20,0)</f>
        <v>0</v>
      </c>
      <c r="N15" s="205">
        <f>IF(O15&gt;0,CONCATENATE(دفاتر!G20," فرخ ",دفاتر!B20,دفاتر!C20),0)</f>
        <v>0</v>
      </c>
      <c r="O15" s="215">
        <f>دفاتر!N20</f>
        <v>0</v>
      </c>
      <c r="V15" s="46">
        <f>Q15</f>
        <v>0</v>
      </c>
    </row>
    <row r="16" spans="2:22" ht="18.75" thickBot="1" x14ac:dyDescent="0.25">
      <c r="E16" s="209"/>
      <c r="F16" s="209"/>
      <c r="G16" s="197">
        <f>IFERROR(Mowrden[[#This Row],[التكلفة]]-E16-F16,0)</f>
        <v>0</v>
      </c>
      <c r="I16" s="204">
        <f>IF($K$16=0,0,$M$22)</f>
        <v>0</v>
      </c>
      <c r="J16" s="212">
        <f>IF($K$16=0,0,$N$22)</f>
        <v>0</v>
      </c>
      <c r="K16" s="195">
        <f>$O$22</f>
        <v>0</v>
      </c>
      <c r="M16" s="719" t="s">
        <v>242</v>
      </c>
      <c r="N16" s="720"/>
      <c r="O16" s="721"/>
    </row>
    <row r="17" spans="5:15" ht="15.75" x14ac:dyDescent="0.2">
      <c r="E17" s="209"/>
      <c r="F17" s="209"/>
      <c r="G17" s="197">
        <f>IFERROR(Mowrden[[#This Row],[التكلفة]]-E17-F17,0)</f>
        <v>0</v>
      </c>
      <c r="I17" s="204">
        <f>$M$23</f>
        <v>0</v>
      </c>
      <c r="J17" s="212">
        <f>IF($K$17=0,0,$N$23)</f>
        <v>0</v>
      </c>
      <c r="K17" s="195">
        <f>$O$23</f>
        <v>0</v>
      </c>
      <c r="M17" s="216" t="str">
        <f>IF('تسعير أوفست'!C21&lt;&gt;0,'تسعير أوفست'!C19,IF('تسعير أوفست داخلي'!C21&lt;&gt;0,'تسعير أوفست داخلي'!C19,0))</f>
        <v>عبد الستار</v>
      </c>
      <c r="N17" s="179" t="str">
        <f>IF(AND('تسعير أوفست'!C21&lt;&gt;0,'تسعير أوفست داخلي'!C21&lt;&gt;0),CONCATENATE('تسعير أوفست'!B21," + ",'تسعير أوفست داخلي'!B21),IF('تسعير أوفست داخلي'!C21=0,'تسعير أوفست'!B21,'تسعير أوفست داخلي'!B21))</f>
        <v>س. مط وجهين</v>
      </c>
      <c r="O17" s="207">
        <f>IF(مطبوعات!B11="أوفست",'تسعير أوفست'!C21,0)+IF(مطبوعات!B17="أوفست",'تسعير أوفست داخلي'!C21,0)</f>
        <v>450</v>
      </c>
    </row>
    <row r="18" spans="5:15" ht="15.75" x14ac:dyDescent="0.2">
      <c r="E18" s="209"/>
      <c r="F18" s="209"/>
      <c r="G18" s="197">
        <f>IFERROR(Mowrden[[#This Row],[التكلفة]]-E18-F18,0)</f>
        <v>0</v>
      </c>
      <c r="I18" s="204">
        <f>$M$24</f>
        <v>0</v>
      </c>
      <c r="J18" s="212">
        <f>IF($K$18=0,0,$N$24)</f>
        <v>0</v>
      </c>
      <c r="K18" s="195">
        <f>$O$24</f>
        <v>0</v>
      </c>
      <c r="M18" s="206">
        <f>IF('تسعير أوفست'!G21&lt;&gt;0,'تسعير أوفست'!G20,IF('تسعير أوفست داخلي'!G21&lt;&gt;0,'تسعير أوفست داخلي'!G20,0))</f>
        <v>0</v>
      </c>
      <c r="N18" s="178" t="s">
        <v>122</v>
      </c>
      <c r="O18" s="208">
        <f>IF(مطبوعات!B11="أوفست",'تسعير أوفست'!G21,0)+IF(مطبوعات!B17="أوفست",'تسعير أوفست داخلي'!G21,0)</f>
        <v>0</v>
      </c>
    </row>
    <row r="19" spans="5:15" ht="15.75" x14ac:dyDescent="0.2">
      <c r="E19" s="209"/>
      <c r="F19" s="209"/>
      <c r="G19" s="197">
        <f>IFERROR(Mowrden[[#This Row],[التكلفة]]-E19-F19,0)</f>
        <v>0</v>
      </c>
      <c r="I19" s="204">
        <f>$M$25</f>
        <v>0</v>
      </c>
      <c r="J19" s="212">
        <f>IF($K$19=0,0,$N$25)</f>
        <v>0</v>
      </c>
      <c r="K19" s="195">
        <f>$O$25</f>
        <v>0</v>
      </c>
      <c r="M19" s="206" t="s">
        <v>243</v>
      </c>
      <c r="N19" s="178" t="s">
        <v>26</v>
      </c>
      <c r="O19" s="208">
        <f>IF(مطبوعات!B11="أوفست",'تسعير أوفست'!D21,0)+IF(مطبوعات!B17="أوفست",'تسعير أوفست داخلي'!D21,0)</f>
        <v>0</v>
      </c>
    </row>
    <row r="20" spans="5:15" ht="15.75" x14ac:dyDescent="0.2">
      <c r="E20" s="209"/>
      <c r="F20" s="209"/>
      <c r="G20" s="197">
        <f>IFERROR(Mowrden[[#This Row],[التكلفة]]-E20-F20,0)</f>
        <v>0</v>
      </c>
      <c r="I20" s="217">
        <f>$M$26</f>
        <v>0</v>
      </c>
      <c r="J20" s="212">
        <f>IF($K$20=0,0,$N$26)</f>
        <v>0</v>
      </c>
      <c r="K20" s="195">
        <f>$O$26</f>
        <v>0</v>
      </c>
      <c r="M20" s="206" t="str">
        <f>'تسعير أوفست داخلي'!J19</f>
        <v>العالمية</v>
      </c>
      <c r="N20" s="178">
        <f>IF('تسعير أوفست داخلي'!H21&lt;&gt;"",'تسعير أوفست داخلي'!H21,IF(دفاتر!I24&gt;0,دفاتر!H22,0))</f>
        <v>0</v>
      </c>
      <c r="O20" s="208">
        <f>IF(مطبوعات!B17="أوفست",'تسعير أوفست داخلي'!J21,0)</f>
        <v>0</v>
      </c>
    </row>
    <row r="21" spans="5:15" ht="15.75" x14ac:dyDescent="0.2">
      <c r="G21" s="197">
        <f>IFERROR(Mowrden[[#This Row],[التكلفة]]-E21-F21,0)</f>
        <v>0</v>
      </c>
      <c r="I21" s="204">
        <f>$M$27</f>
        <v>0</v>
      </c>
      <c r="J21" s="212">
        <f>IF($K$21=0,0,$N$27)</f>
        <v>0</v>
      </c>
      <c r="K21" s="195">
        <f>$O$27</f>
        <v>0</v>
      </c>
      <c r="M21" s="206" t="s">
        <v>27</v>
      </c>
      <c r="N21" s="46">
        <f>'تسعير أوفست'!I20</f>
        <v>1</v>
      </c>
      <c r="O21" s="208">
        <f>IF(مطبوعات!B11="أوفست",'تسعير أوفست'!I21,0)</f>
        <v>0</v>
      </c>
    </row>
    <row r="22" spans="5:15" ht="15.75" x14ac:dyDescent="0.2">
      <c r="M22" s="206">
        <f>IF(OR('تسعير أوفست'!K20='تسعير أوفست'!M20,'تسعير أوفست'!M20=""),'تسعير أوفست'!K20,CONCATENATE('تسعير أوفست'!K20," و ",'تسعير أوفست'!M20))</f>
        <v>0</v>
      </c>
      <c r="N22" s="178" t="s">
        <v>244</v>
      </c>
      <c r="O22" s="208">
        <f>IF(مطبوعات!B11="أوفست",'تسعير أوفست'!J21+'تسعير أوفست'!L21,0)</f>
        <v>0</v>
      </c>
    </row>
    <row r="23" spans="5:15" ht="15.75" x14ac:dyDescent="0.2">
      <c r="M23" s="206">
        <f>'تسعير أوفست'!F26</f>
        <v>0</v>
      </c>
      <c r="N23" s="178" t="str">
        <f>CONCATENATE("عدد ",'تسعير أوفست'!E26," ",'تسعير أوفست'!B26)</f>
        <v xml:space="preserve">عدد  </v>
      </c>
      <c r="O23" s="218">
        <f>'تسعير أوفست'!G26*'تسعير أوفست'!E26</f>
        <v>0</v>
      </c>
    </row>
    <row r="24" spans="5:15" ht="15.75" x14ac:dyDescent="0.2">
      <c r="M24" s="219">
        <f>'تسعير أوفست'!F27</f>
        <v>0</v>
      </c>
      <c r="N24" s="178" t="str">
        <f>CONCATENATE("عدد ",'تسعير أوفست'!E27," ",'تسعير أوفست'!B27)</f>
        <v xml:space="preserve">عدد  </v>
      </c>
      <c r="O24" s="218">
        <f>'تسعير أوفست'!G27*'تسعير أوفست'!E27</f>
        <v>0</v>
      </c>
    </row>
    <row r="25" spans="5:15" ht="15.75" x14ac:dyDescent="0.2">
      <c r="M25" s="206">
        <f>'تسعير أوفست داخلي'!F25</f>
        <v>0</v>
      </c>
      <c r="N25" s="178" t="str">
        <f>CONCATENATE("عدد ",'تسعير أوفست داخلي'!E25," ",'تسعير أوفست داخلي'!B25)</f>
        <v xml:space="preserve">عدد  </v>
      </c>
      <c r="O25" s="218">
        <f>'تسعير أوفست داخلي'!G25*'تسعير أوفست داخلي'!E25</f>
        <v>0</v>
      </c>
    </row>
    <row r="26" spans="5:15" ht="15.75" x14ac:dyDescent="0.2">
      <c r="M26" s="219">
        <f>'تسعير أوفست داخلي'!F26</f>
        <v>0</v>
      </c>
      <c r="N26" s="178" t="str">
        <f>CONCATENATE("عدد ",'تسعير أوفست داخلي'!E26," ",'تسعير أوفست داخلي'!B26)</f>
        <v xml:space="preserve">عدد  </v>
      </c>
      <c r="O26" s="218">
        <f>'تسعير أوفست داخلي'!G26*'تسعير أوفست داخلي'!E26</f>
        <v>0</v>
      </c>
    </row>
    <row r="27" spans="5:15" ht="16.5" thickBot="1" x14ac:dyDescent="0.25">
      <c r="M27" s="220">
        <f>IF(دفاتر!B24&gt;0,دفاتر!I15,0)</f>
        <v>0</v>
      </c>
      <c r="N27" s="221" t="str">
        <f>CONCATENATE(دفاتر!E6," ",دفاتر!F6)</f>
        <v xml:space="preserve"> </v>
      </c>
      <c r="O27" s="215">
        <f>IF(دفاتر!B24&gt;0,دفاتر!B24*دفاتر!E6,0)</f>
        <v>0</v>
      </c>
    </row>
  </sheetData>
  <sheetProtection algorithmName="SHA-512" hashValue="zPXvvEBvoRuiSHU7WTPI1wGS36O1j7S+xcrVBv64fpwbQGsFjJ+FJxuLiAdD+CPcmO03jIyrITx3hEwK9QcCHQ==" saltValue="aNna8ZZI41QRwm81PCoSuA==" spinCount="100000" sheet="1" objects="1" scenarios="1"/>
  <mergeCells count="6">
    <mergeCell ref="M16:O16"/>
    <mergeCell ref="M2:O2"/>
    <mergeCell ref="M4:O4"/>
    <mergeCell ref="M8:O8"/>
    <mergeCell ref="M10:O10"/>
    <mergeCell ref="M12:O12"/>
  </mergeCells>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B1:W27"/>
  <sheetViews>
    <sheetView showZeros="0" rightToLeft="1" zoomScaleNormal="100" workbookViewId="0">
      <selection activeCell="C17" sqref="C17"/>
    </sheetView>
  </sheetViews>
  <sheetFormatPr defaultColWidth="9" defaultRowHeight="14.25" x14ac:dyDescent="0.2"/>
  <cols>
    <col min="1" max="1" width="3" style="46" customWidth="1"/>
    <col min="2" max="7" width="12.625" style="46" customWidth="1"/>
    <col min="8" max="8" width="4.625" style="46" customWidth="1"/>
    <col min="9" max="9" width="11" style="46" bestFit="1" customWidth="1"/>
    <col min="10" max="13" width="12.625" style="46" customWidth="1"/>
    <col min="14" max="14" width="5.375" style="46" customWidth="1"/>
    <col min="15" max="15" width="12.625" style="46" customWidth="1"/>
    <col min="16" max="16" width="9.875" style="46" bestFit="1" customWidth="1"/>
    <col min="17" max="17" width="7.25" style="46" customWidth="1"/>
    <col min="18" max="18" width="9.875" style="46" customWidth="1"/>
    <col min="19" max="19" width="10" style="46" customWidth="1"/>
    <col min="20" max="20" width="9" style="46" hidden="1" customWidth="1"/>
    <col min="21" max="22" width="7.75" style="46" hidden="1" customWidth="1"/>
    <col min="23" max="23" width="10.125" style="46" hidden="1" customWidth="1"/>
    <col min="24" max="16384" width="9" style="46"/>
  </cols>
  <sheetData>
    <row r="1" spans="2:23" ht="10.5" customHeight="1" thickBot="1" x14ac:dyDescent="0.25">
      <c r="N1" s="47"/>
      <c r="T1" s="118"/>
      <c r="U1" s="118"/>
      <c r="V1" s="118"/>
      <c r="W1" s="118"/>
    </row>
    <row r="2" spans="2:23" ht="18.75" thickBot="1" x14ac:dyDescent="0.25">
      <c r="B2" s="725" t="s">
        <v>1</v>
      </c>
      <c r="C2" s="726"/>
      <c r="D2" s="726"/>
      <c r="E2" s="726"/>
      <c r="F2" s="726"/>
      <c r="G2" s="727"/>
      <c r="H2" s="1"/>
      <c r="I2" s="728" t="s">
        <v>68</v>
      </c>
      <c r="J2" s="729"/>
      <c r="K2" s="729"/>
      <c r="L2" s="729"/>
      <c r="M2" s="730"/>
      <c r="N2" s="48"/>
      <c r="O2" s="731" t="s">
        <v>69</v>
      </c>
      <c r="P2" s="732"/>
      <c r="Q2" s="732"/>
      <c r="R2" s="733"/>
      <c r="T2" s="118"/>
      <c r="U2" s="118"/>
      <c r="V2" s="118"/>
      <c r="W2" s="118" t="s">
        <v>70</v>
      </c>
    </row>
    <row r="3" spans="2:23" ht="13.5" customHeight="1" thickBot="1" x14ac:dyDescent="0.25">
      <c r="B3" s="737" t="s">
        <v>7</v>
      </c>
      <c r="C3" s="738"/>
      <c r="D3" s="739"/>
      <c r="E3" s="49" t="s">
        <v>71</v>
      </c>
      <c r="F3" s="740" t="s">
        <v>60</v>
      </c>
      <c r="G3" s="741"/>
      <c r="H3" s="1"/>
      <c r="I3" s="742" t="s">
        <v>72</v>
      </c>
      <c r="J3" s="493"/>
      <c r="K3" s="50" t="s">
        <v>22</v>
      </c>
      <c r="L3" s="743" t="s">
        <v>23</v>
      </c>
      <c r="M3" s="744"/>
      <c r="N3" s="48"/>
      <c r="O3" s="734"/>
      <c r="P3" s="735"/>
      <c r="Q3" s="735"/>
      <c r="R3" s="736"/>
      <c r="T3" s="118"/>
      <c r="U3" s="118"/>
      <c r="V3" s="118"/>
      <c r="W3" s="119" t="b">
        <v>0</v>
      </c>
    </row>
    <row r="4" spans="2:23" ht="27" customHeight="1" thickBot="1" x14ac:dyDescent="0.25">
      <c r="B4" s="773" t="str">
        <f>مطبوعات!E5</f>
        <v xml:space="preserve"> MWHEBA</v>
      </c>
      <c r="C4" s="774"/>
      <c r="D4" s="775"/>
      <c r="E4" s="51">
        <f>مطبوعات!I5</f>
        <v>6000</v>
      </c>
      <c r="F4" s="544" t="str">
        <f>CONCATENATE(مطبوعات!J5," ",مطبوعات!K5)</f>
        <v xml:space="preserve"> </v>
      </c>
      <c r="G4" s="775"/>
      <c r="H4" s="1"/>
      <c r="I4" s="776" t="str">
        <f>IF(I6&gt;0,CONCATENATE(I6," x ",J6),0)</f>
        <v>6 x 10</v>
      </c>
      <c r="J4" s="777"/>
      <c r="K4" s="778" t="s">
        <v>334</v>
      </c>
      <c r="L4" s="52" t="s">
        <v>32</v>
      </c>
      <c r="M4" s="53" t="s">
        <v>33</v>
      </c>
      <c r="N4" s="54"/>
      <c r="T4" s="118"/>
      <c r="U4" s="571" t="s">
        <v>74</v>
      </c>
      <c r="V4" s="571"/>
      <c r="W4" s="571"/>
    </row>
    <row r="5" spans="2:23" ht="9" customHeight="1" thickBot="1" x14ac:dyDescent="0.25">
      <c r="B5" s="1"/>
      <c r="C5" s="1"/>
      <c r="D5" s="1"/>
      <c r="E5" s="1"/>
      <c r="F5" s="1"/>
      <c r="G5" s="1"/>
      <c r="H5" s="1"/>
      <c r="I5" s="766"/>
      <c r="J5" s="767"/>
      <c r="K5" s="778"/>
      <c r="L5" s="768">
        <v>4</v>
      </c>
      <c r="M5" s="770"/>
      <c r="T5" s="118"/>
      <c r="U5" s="118"/>
      <c r="V5" s="118"/>
      <c r="W5" s="118"/>
    </row>
    <row r="6" spans="2:23" ht="18.75" thickBot="1" x14ac:dyDescent="0.25">
      <c r="B6" s="780" t="s">
        <v>70</v>
      </c>
      <c r="C6" s="781"/>
      <c r="D6" s="772" t="s">
        <v>75</v>
      </c>
      <c r="E6" s="772"/>
      <c r="F6" s="772"/>
      <c r="G6" s="55"/>
      <c r="H6" s="1"/>
      <c r="I6" s="156">
        <v>6</v>
      </c>
      <c r="J6" s="297">
        <v>10</v>
      </c>
      <c r="K6" s="779"/>
      <c r="L6" s="769"/>
      <c r="M6" s="771"/>
      <c r="T6" s="118"/>
      <c r="U6" s="118" t="s">
        <v>72</v>
      </c>
      <c r="V6" s="118">
        <f>DGET(Data!$I$3:$K$8,Data!$J$3,J12:J13)</f>
        <v>49</v>
      </c>
      <c r="W6" s="118">
        <f>DGET(Data!$I$3:$K$8,Data!$K$3,J12:J13)</f>
        <v>34</v>
      </c>
    </row>
    <row r="7" spans="2:23" ht="15.75" x14ac:dyDescent="0.2">
      <c r="B7" s="56" t="s">
        <v>76</v>
      </c>
      <c r="C7" s="57" t="s">
        <v>77</v>
      </c>
      <c r="D7" s="58" t="s">
        <v>78</v>
      </c>
      <c r="E7" s="58" t="s">
        <v>79</v>
      </c>
      <c r="F7" s="59" t="s">
        <v>80</v>
      </c>
      <c r="G7" s="59" t="s">
        <v>81</v>
      </c>
      <c r="H7" s="1"/>
      <c r="I7" s="742" t="s">
        <v>82</v>
      </c>
      <c r="J7" s="491"/>
      <c r="K7" s="493"/>
      <c r="L7" s="527" t="s">
        <v>81</v>
      </c>
      <c r="M7" s="514"/>
      <c r="O7" s="745" t="s">
        <v>83</v>
      </c>
      <c r="P7" s="746"/>
      <c r="Q7" s="746"/>
      <c r="R7" s="747"/>
      <c r="T7" s="118" t="s">
        <v>84</v>
      </c>
      <c r="U7" s="118">
        <f>I6</f>
        <v>6</v>
      </c>
      <c r="V7" s="118">
        <f>ROUNDDOWN(V6/U7,0)</f>
        <v>8</v>
      </c>
      <c r="W7" s="118">
        <f>ROUNDDOWN(W6/U7,0)</f>
        <v>5</v>
      </c>
    </row>
    <row r="8" spans="2:23" ht="22.5" customHeight="1" thickBot="1" x14ac:dyDescent="0.25">
      <c r="B8" s="60">
        <f>IF(K4="وجهين",(L5+M5),L5)</f>
        <v>4</v>
      </c>
      <c r="C8" s="61" t="s">
        <v>85</v>
      </c>
      <c r="D8" s="62" t="s">
        <v>277</v>
      </c>
      <c r="E8" s="63"/>
      <c r="F8" s="64" t="str">
        <f>IF(B8&gt;0,DGET('أفلام وزنكات'!$F$4:$H$19,'أفلام وزنكات'!$H$4,C7:D8),0)</f>
        <v>75</v>
      </c>
      <c r="G8" s="65">
        <f>IF(W3=TRUE,0,(B8*F8)+E8)</f>
        <v>300</v>
      </c>
      <c r="H8" s="66"/>
      <c r="I8" s="67" t="s">
        <v>87</v>
      </c>
      <c r="J8" s="10">
        <f>IF(AND(I6&gt;0,J6&gt;0),W11,"تأكد من المقاس")</f>
        <v>24</v>
      </c>
      <c r="K8" s="68" t="str">
        <f>CONCATENATE("في ال",C8)</f>
        <v>في الربع</v>
      </c>
      <c r="L8" s="748"/>
      <c r="M8" s="749"/>
      <c r="O8" s="750">
        <f>IFERROR(IF(ISNUMBER(O12),O12/E4,0),"أدخل العدد")</f>
        <v>0.34799999999999998</v>
      </c>
      <c r="P8" s="751"/>
      <c r="Q8" s="751"/>
      <c r="R8" s="752"/>
      <c r="S8"/>
      <c r="T8" s="118" t="str">
        <f>DGET(المطابع!$W$4:$Z$21,المطابع!$Z$4,I12:J13)</f>
        <v>120</v>
      </c>
      <c r="U8" s="118">
        <f>J6</f>
        <v>10</v>
      </c>
      <c r="V8" s="118">
        <f>ROUNDDOWN(V6/U8,0)</f>
        <v>4</v>
      </c>
      <c r="W8" s="118">
        <f>ROUNDDOWN(W6/U8,0)</f>
        <v>3</v>
      </c>
    </row>
    <row r="9" spans="2:23" ht="14.1" customHeight="1" thickBot="1" x14ac:dyDescent="0.25">
      <c r="B9" s="1"/>
      <c r="C9" s="1"/>
      <c r="D9" s="1"/>
      <c r="E9" s="1"/>
      <c r="F9" s="1"/>
      <c r="G9" s="1"/>
      <c r="H9" s="1"/>
      <c r="I9" s="1"/>
      <c r="J9" s="1"/>
      <c r="K9" s="1"/>
      <c r="L9" s="1"/>
      <c r="M9" s="1"/>
      <c r="S9"/>
      <c r="T9" s="118">
        <f>H13*ROUNDUP(E13/1000,0)</f>
        <v>0</v>
      </c>
      <c r="U9" s="118"/>
      <c r="V9" s="118"/>
      <c r="W9" s="118"/>
    </row>
    <row r="10" spans="2:23" ht="18.75" thickBot="1" x14ac:dyDescent="0.25">
      <c r="B10" s="791" t="s">
        <v>89</v>
      </c>
      <c r="C10" s="792"/>
      <c r="D10" s="792"/>
      <c r="E10" s="792"/>
      <c r="F10" s="792"/>
      <c r="G10" s="792"/>
      <c r="H10" s="792"/>
      <c r="I10" s="792"/>
      <c r="J10" s="792"/>
      <c r="K10" s="792"/>
      <c r="L10" s="792"/>
      <c r="M10" s="793"/>
      <c r="N10" s="48"/>
      <c r="R10"/>
      <c r="S10"/>
      <c r="T10" s="118">
        <f>H13*ROUNDUP(E13/1000,0)*T8</f>
        <v>0</v>
      </c>
      <c r="U10" s="118"/>
      <c r="V10" s="118"/>
      <c r="W10" s="118" t="s">
        <v>90</v>
      </c>
    </row>
    <row r="11" spans="2:23" ht="18" x14ac:dyDescent="0.2">
      <c r="B11" s="743" t="s">
        <v>91</v>
      </c>
      <c r="C11" s="744"/>
      <c r="D11" s="782" t="s">
        <v>92</v>
      </c>
      <c r="E11" s="529" t="s">
        <v>93</v>
      </c>
      <c r="F11" s="514" t="s">
        <v>94</v>
      </c>
      <c r="G11" s="764" t="s">
        <v>95</v>
      </c>
      <c r="H11" s="765"/>
      <c r="I11" s="743" t="s">
        <v>96</v>
      </c>
      <c r="J11" s="534"/>
      <c r="K11" s="744"/>
      <c r="L11" s="527" t="s">
        <v>81</v>
      </c>
      <c r="M11" s="514"/>
      <c r="N11" s="47"/>
      <c r="O11" s="753" t="s">
        <v>30</v>
      </c>
      <c r="P11" s="754"/>
      <c r="Q11" s="754"/>
      <c r="R11" s="755"/>
      <c r="T11" s="120"/>
      <c r="U11" s="118"/>
      <c r="V11" s="118"/>
      <c r="W11" s="118">
        <f>MAX(W8*V7,V8*W7)</f>
        <v>24</v>
      </c>
    </row>
    <row r="12" spans="2:23" ht="15" customHeight="1" x14ac:dyDescent="0.2">
      <c r="B12" s="69" t="s">
        <v>32</v>
      </c>
      <c r="C12" s="70" t="s">
        <v>33</v>
      </c>
      <c r="D12" s="783"/>
      <c r="E12" s="530"/>
      <c r="F12" s="515"/>
      <c r="G12" s="182" t="s">
        <v>97</v>
      </c>
      <c r="H12" s="183" t="s">
        <v>87</v>
      </c>
      <c r="I12" s="71" t="s">
        <v>98</v>
      </c>
      <c r="J12" s="72" t="s">
        <v>99</v>
      </c>
      <c r="K12" s="70" t="s">
        <v>100</v>
      </c>
      <c r="L12" s="528"/>
      <c r="M12" s="515"/>
      <c r="O12" s="756">
        <f>G8+L8+L13+L17+H17+C21+D21+E21+G21+I21+J21+L21+(M26*L26)+(M27*L27)+(G26*E26)+(G27*E27)</f>
        <v>2088</v>
      </c>
      <c r="P12" s="757"/>
      <c r="Q12" s="757"/>
      <c r="R12" s="758"/>
      <c r="T12" s="118"/>
      <c r="U12" s="118"/>
      <c r="V12" s="118"/>
      <c r="W12" s="118"/>
    </row>
    <row r="13" spans="2:23" ht="21.95" customHeight="1" thickBot="1" x14ac:dyDescent="0.25">
      <c r="B13" s="60">
        <f>L5</f>
        <v>4</v>
      </c>
      <c r="C13" s="73">
        <f>M5</f>
        <v>0</v>
      </c>
      <c r="D13" s="74">
        <f>IF(J8="تأكد من المقاس",0,ROUNDUP(E4/J8,0))</f>
        <v>250</v>
      </c>
      <c r="E13" s="75">
        <f>IF(B13=0,0,IF(K4="وجه واحد",D13,D13*2))</f>
        <v>500</v>
      </c>
      <c r="F13" s="76">
        <f>IF(K4="وجه واحد",ROUNDUP(D13/1000,0)*B13,IF(K4="طبع وقلب",ROUNDUP(E13/1000,0)*B13,(ROUNDUP(D13/1000,0)*C13)+(ROUNDUP(D13/1000,0)*B13)))</f>
        <v>4</v>
      </c>
      <c r="G13" s="180"/>
      <c r="H13" s="181"/>
      <c r="I13" s="77" t="s">
        <v>276</v>
      </c>
      <c r="J13" s="78" t="str">
        <f>C8</f>
        <v>ربع</v>
      </c>
      <c r="K13" s="64" t="str">
        <f>IF(B13=0,0,DGET(المطابع!$W$4:$Z$21,المطابع!$Y$4,I12:J13))</f>
        <v>100</v>
      </c>
      <c r="L13" s="762">
        <f>IF(B13=0,0,IF(AND(H13&gt;0,H13&lt;=B13),((F13-H13*ROUNDUP(E13/1000,0))*K13)+(H13*ROUNDUP(E13/1000,0)*T8),IF(OR(H13&lt;0,H13&gt;B13),"خطأ ألوان مخصوصة",F13*K13)))</f>
        <v>400</v>
      </c>
      <c r="M13" s="763"/>
      <c r="O13" s="759"/>
      <c r="P13" s="760"/>
      <c r="Q13" s="760"/>
      <c r="R13" s="761"/>
      <c r="T13" s="118">
        <f>IF(H13&gt;B13,"خطأ ألوان مخصوصة",0)</f>
        <v>0</v>
      </c>
      <c r="U13" s="118"/>
      <c r="V13" s="118"/>
      <c r="W13" s="118"/>
    </row>
    <row r="14" spans="2:23" ht="14.1" customHeight="1" thickBot="1" x14ac:dyDescent="0.25">
      <c r="B14" s="1"/>
      <c r="C14" s="1"/>
      <c r="D14" s="1"/>
      <c r="E14" s="1"/>
      <c r="F14" s="1"/>
      <c r="G14" s="1"/>
      <c r="H14" s="1"/>
      <c r="I14" s="1"/>
      <c r="J14" s="79">
        <v>46204.655277777776</v>
      </c>
      <c r="K14" s="1"/>
      <c r="L14" s="1"/>
      <c r="M14" s="1"/>
      <c r="O14"/>
      <c r="P14"/>
      <c r="T14" s="118"/>
      <c r="U14" s="118"/>
      <c r="V14" s="118"/>
      <c r="W14" s="118"/>
    </row>
    <row r="15" spans="2:23" ht="18.75" thickBot="1" x14ac:dyDescent="0.25">
      <c r="B15" s="788" t="s">
        <v>102</v>
      </c>
      <c r="C15" s="789"/>
      <c r="D15" s="789"/>
      <c r="E15" s="789"/>
      <c r="F15" s="789"/>
      <c r="G15" s="789"/>
      <c r="H15" s="789"/>
      <c r="I15" s="789"/>
      <c r="J15" s="789"/>
      <c r="K15" s="789"/>
      <c r="L15" s="789"/>
      <c r="M15" s="790"/>
      <c r="O15"/>
      <c r="T15" s="118"/>
      <c r="U15" s="118"/>
      <c r="V15" s="118"/>
      <c r="W15" s="118"/>
    </row>
    <row r="16" spans="2:23" ht="15.75" customHeight="1" x14ac:dyDescent="0.2">
      <c r="B16" s="80" t="s">
        <v>103</v>
      </c>
      <c r="C16" s="29" t="s">
        <v>72</v>
      </c>
      <c r="D16" s="27" t="s">
        <v>104</v>
      </c>
      <c r="E16" s="27" t="s">
        <v>105</v>
      </c>
      <c r="F16" s="28" t="s">
        <v>106</v>
      </c>
      <c r="G16" s="50" t="s">
        <v>71</v>
      </c>
      <c r="H16" s="742" t="s">
        <v>107</v>
      </c>
      <c r="I16" s="493"/>
      <c r="J16" s="80" t="s">
        <v>108</v>
      </c>
      <c r="K16" s="81" t="s">
        <v>109</v>
      </c>
      <c r="L16" s="742" t="s">
        <v>81</v>
      </c>
      <c r="M16" s="493"/>
      <c r="O16"/>
      <c r="P16" s="82"/>
      <c r="T16" s="118"/>
      <c r="U16" s="118"/>
      <c r="V16" s="118"/>
      <c r="W16" s="118"/>
    </row>
    <row r="17" spans="2:23" ht="21.95" customHeight="1" thickBot="1" x14ac:dyDescent="0.25">
      <c r="B17" s="83" t="s">
        <v>111</v>
      </c>
      <c r="C17" s="84" t="s">
        <v>112</v>
      </c>
      <c r="D17" s="62">
        <v>300</v>
      </c>
      <c r="E17" s="62" t="s">
        <v>220</v>
      </c>
      <c r="F17" s="85" t="s">
        <v>231</v>
      </c>
      <c r="G17" s="86">
        <f>IF(E19="إضافة",W21+F19,W21-F19)</f>
        <v>75</v>
      </c>
      <c r="H17" s="784"/>
      <c r="I17" s="785"/>
      <c r="J17" s="87">
        <f>IFERROR(INDEX('أسعار الورق'!$H$3:$H$74,SUMPRODUCT(('أسعار الورق'!$B$3:$B$74=B17)*('أسعار الورق'!$D$3:$D$74=D17)*('أسعار الورق'!$F$3:$F$74=F17)*('أسعار الورق'!$E$3:$E$74=E17)*('أسعار الورق'!$C$3:$C$74=C17)*ROW('أسعار الورق'!$H$3:$H$74))-2,0),"تأكد من الورق")</f>
        <v>12.5</v>
      </c>
      <c r="K17" s="88">
        <f>IFERROR(INDEX('أسعار الورق'!$G$3:$G$74,SUMPRODUCT(('أسعار الورق'!$B$3:$B$74=B17)*('أسعار الورق'!$D$3:$D$74=D17)*('أسعار الورق'!$F$3:$F$74=F17)*('أسعار الورق'!$E$3:$E$74=E17)*('أسعار الورق'!$C$3:$C$74=C17)*ROW('أسعار الورق'!$G$3:$G$74))-2,0),"تأكد من الورق")</f>
        <v>45587</v>
      </c>
      <c r="L17" s="786">
        <f>IFERROR(IF(B17&lt;&gt;"",IF(J17="-",0,ROUNDUP(J17*G17,0)),0),0)</f>
        <v>938</v>
      </c>
      <c r="M17" s="787"/>
      <c r="N17" s="127" t="str">
        <f ca="1">CELL("address",INDEX('أسعار الورق'!$H$3:$H$74,SUMPRODUCT(('أسعار الورق'!$B$3:$B$74=B17)*('أسعار الورق'!$D$3:$D$74=D17)*('أسعار الورق'!$F$3:$F$74=F17)*('أسعار الورق'!$E$3:$E$74=E17)*('أسعار الورق'!$C$3:$C$74=C17)*ROW('أسعار الورق'!$H$3:$H$74))-2,0))</f>
        <v>'[Pricing 2024.xlsm]أسعار الورق'!$H$26</v>
      </c>
      <c r="O17"/>
      <c r="T17" s="118"/>
      <c r="U17" s="118"/>
      <c r="V17" s="118"/>
      <c r="W17" s="118"/>
    </row>
    <row r="18" spans="2:23" ht="14.1" customHeight="1" thickBot="1" x14ac:dyDescent="0.25">
      <c r="B18" s="1"/>
      <c r="C18" s="1"/>
      <c r="D18" s="1"/>
      <c r="E18" s="1"/>
      <c r="F18" s="1"/>
      <c r="G18" s="1"/>
      <c r="H18" s="1"/>
      <c r="I18" s="1"/>
      <c r="J18" s="1"/>
      <c r="K18" s="1"/>
      <c r="L18" s="1"/>
      <c r="M18" s="1"/>
      <c r="O18"/>
      <c r="P18"/>
      <c r="T18" s="118"/>
      <c r="U18" s="118"/>
      <c r="V18" s="118"/>
      <c r="W18" s="118"/>
    </row>
    <row r="19" spans="2:23" ht="18.75" thickBot="1" x14ac:dyDescent="0.25">
      <c r="B19" s="89" t="s">
        <v>25</v>
      </c>
      <c r="C19" s="90" t="s">
        <v>116</v>
      </c>
      <c r="D19" s="347" t="s">
        <v>117</v>
      </c>
      <c r="E19" s="348" t="s">
        <v>118</v>
      </c>
      <c r="F19" s="329">
        <v>2</v>
      </c>
      <c r="G19" s="349" t="s">
        <v>115</v>
      </c>
      <c r="H19" s="350"/>
      <c r="I19" s="93" t="s">
        <v>27</v>
      </c>
      <c r="J19" s="94"/>
      <c r="K19" s="94" t="s">
        <v>119</v>
      </c>
      <c r="L19" s="94"/>
      <c r="M19" s="95"/>
      <c r="O19" s="350"/>
      <c r="P19" s="350"/>
      <c r="T19" s="118"/>
      <c r="U19" s="118"/>
      <c r="V19" s="118"/>
      <c r="W19" s="118"/>
    </row>
    <row r="20" spans="2:23" ht="15" customHeight="1" x14ac:dyDescent="0.2">
      <c r="B20" s="80" t="s">
        <v>120</v>
      </c>
      <c r="C20" s="96" t="s">
        <v>81</v>
      </c>
      <c r="D20" s="30" t="s">
        <v>26</v>
      </c>
      <c r="E20" s="27" t="s">
        <v>121</v>
      </c>
      <c r="F20" s="97" t="s">
        <v>122</v>
      </c>
      <c r="G20" s="98"/>
      <c r="H20"/>
      <c r="I20" s="99">
        <v>1</v>
      </c>
      <c r="J20" s="97" t="s">
        <v>121</v>
      </c>
      <c r="K20" s="100"/>
      <c r="L20" s="101" t="s">
        <v>206</v>
      </c>
      <c r="M20" s="102"/>
      <c r="T20" s="118"/>
      <c r="U20" s="118"/>
      <c r="V20" s="118"/>
      <c r="W20" s="118" t="s">
        <v>124</v>
      </c>
    </row>
    <row r="21" spans="2:23" ht="21.95" customHeight="1" thickBot="1" x14ac:dyDescent="0.25">
      <c r="B21" s="103" t="s">
        <v>200</v>
      </c>
      <c r="C21" s="104">
        <f>IF(B21&lt;&gt;"",G17*DGET('خدمات الطباعة'!$S$3:$T$19,'خدمات الطباعة'!$T$3,B20:B21),0)</f>
        <v>450</v>
      </c>
      <c r="D21" s="105"/>
      <c r="E21" s="106"/>
      <c r="F21" s="107"/>
      <c r="G21" s="108">
        <f>IF(F21&lt;&gt;"",IF(G17&gt;125,IF(F21="وجه واحد",'خدمات الطباعة'!T12*G17,IF(F21="وجهين",'خدمات الطباعة'!T12*G17*2,0)),150),0)</f>
        <v>0</v>
      </c>
      <c r="H21"/>
      <c r="I21" s="109"/>
      <c r="J21" s="803">
        <f>IF(L22=TRUE,IF(مطبوعات!B17="",IF(J8&gt;1,'خدمات الطباعة'!Z4*ROUNDUP(D13/1000,0)*J8/I20,'خدمات الطباعة'!Z4*ROUNDUP(D13/1000,0)*J8),IF('تسعير أوفست داخلي'!J8&gt;1,'خدمات الطباعة'!Z4*ROUNDUP('تسعير أوفست داخلي'!D13/1000,0)*'تسعير أوفست داخلي'!J8/I20,'خدمات الطباعة'!Z4*ROUNDUP('تسعير أوفست داخلي'!D13/1000,0)*'تسعير أوفست داخلي'!J8)),0)</f>
        <v>0</v>
      </c>
      <c r="K21" s="804"/>
      <c r="L21" s="803">
        <f>IF(L22=TRUE,IF(L20="بدون تلزيق",0,IF(مطبوعات!B17="",IF(L20="تلزيق لسان",'خدمات الطباعة'!Z6*ROUNDUP(E4/1000,0),IF(L20="تلزيق 2 لسان",'خدمات الطباعة'!Z7*ROUNDUP(E4/1000,0),'خدمات الطباعة'!Z8*ROUNDUP(E4/1000,0))),IF(L20="تلزيق لسان",'خدمات الطباعة'!Z6*ROUNDUP('تسعير أوفست داخلي'!E4/1000,0),IF(L20="تلزيق 2 لسان",'خدمات الطباعة'!Z7*ROUNDUP('تسعير أوفست داخلي'!E4/1000,0),'خدمات الطباعة'!Z8*ROUNDUP('تسعير أوفست داخلي'!E4/1000,0))))),0)</f>
        <v>0</v>
      </c>
      <c r="M21" s="805"/>
      <c r="T21" s="118"/>
      <c r="U21" s="118"/>
      <c r="V21" s="118"/>
      <c r="W21" s="118">
        <f>IF(D13=0,0,IF(D13&gt;249,(ROUNDUP(IF(C8="ثمن",(D13/8),IF(C8="ربع",(D13/4),IF(C8="نص",(D13/2),D13))),0)+IF(D13&gt;1000,ROUNDUP(D13/100,0),10)),IF(C8="ثمن",25,IF(C8="ربع",50,75))))</f>
        <v>73</v>
      </c>
    </row>
    <row r="22" spans="2:23" hidden="1" x14ac:dyDescent="0.2">
      <c r="B22"/>
      <c r="C22"/>
      <c r="D22"/>
      <c r="E22"/>
      <c r="F22"/>
      <c r="G22"/>
      <c r="H22"/>
      <c r="I22"/>
      <c r="J22"/>
      <c r="K22"/>
      <c r="L22" s="110" t="b">
        <v>0</v>
      </c>
      <c r="M22" s="111"/>
    </row>
    <row r="23" spans="2:23" ht="14.1" customHeight="1" thickBot="1" x14ac:dyDescent="0.25">
      <c r="B23" s="1"/>
      <c r="C23" s="1"/>
      <c r="D23" s="1"/>
      <c r="E23" s="1"/>
      <c r="F23" s="1"/>
      <c r="G23" s="1"/>
      <c r="H23" s="1"/>
      <c r="I23" s="1"/>
      <c r="J23" s="1"/>
      <c r="K23" s="1"/>
      <c r="L23" s="1"/>
      <c r="M23" s="1"/>
    </row>
    <row r="24" spans="2:23" ht="18.75" thickBot="1" x14ac:dyDescent="0.25">
      <c r="B24" s="806" t="s">
        <v>125</v>
      </c>
      <c r="C24" s="807"/>
      <c r="D24" s="807"/>
      <c r="E24" s="807"/>
      <c r="F24" s="807"/>
      <c r="G24" s="808"/>
      <c r="H24" s="1"/>
      <c r="I24" s="806" t="s">
        <v>126</v>
      </c>
      <c r="J24" s="807"/>
      <c r="K24" s="807"/>
      <c r="L24" s="807"/>
      <c r="M24" s="808"/>
    </row>
    <row r="25" spans="2:23" ht="15" x14ac:dyDescent="0.2">
      <c r="B25" s="742" t="s">
        <v>60</v>
      </c>
      <c r="C25" s="491"/>
      <c r="D25" s="492"/>
      <c r="E25" s="27" t="s">
        <v>71</v>
      </c>
      <c r="F25" s="28" t="s">
        <v>35</v>
      </c>
      <c r="G25" s="28" t="s">
        <v>127</v>
      </c>
      <c r="H25" s="1"/>
      <c r="I25" s="742" t="s">
        <v>60</v>
      </c>
      <c r="J25" s="491"/>
      <c r="K25" s="492"/>
      <c r="L25" s="27" t="s">
        <v>71</v>
      </c>
      <c r="M25" s="28" t="s">
        <v>127</v>
      </c>
    </row>
    <row r="26" spans="2:23" ht="21" customHeight="1" x14ac:dyDescent="0.2">
      <c r="B26" s="794"/>
      <c r="C26" s="795"/>
      <c r="D26" s="796"/>
      <c r="E26" s="112"/>
      <c r="F26" s="113"/>
      <c r="G26" s="114"/>
      <c r="H26" s="111"/>
      <c r="I26" s="794"/>
      <c r="J26" s="795"/>
      <c r="K26" s="796"/>
      <c r="L26" s="112"/>
      <c r="M26" s="114"/>
      <c r="N26" s="47"/>
    </row>
    <row r="27" spans="2:23" ht="21" customHeight="1" thickBot="1" x14ac:dyDescent="0.25">
      <c r="B27" s="797"/>
      <c r="C27" s="798"/>
      <c r="D27" s="799"/>
      <c r="E27" s="115"/>
      <c r="F27" s="116"/>
      <c r="G27" s="117"/>
      <c r="H27" s="111"/>
      <c r="I27" s="800"/>
      <c r="J27" s="801"/>
      <c r="K27" s="802"/>
      <c r="L27" s="115"/>
      <c r="M27" s="117"/>
      <c r="N27" s="47"/>
    </row>
  </sheetData>
  <sheetProtection algorithmName="SHA-512" hashValue="0rveKdQKAY0TL3s/gUOmG7pl0j3saH27HXrHLrr4YWGPQdjM3eYlCYNAE0zk3elKRzmrd/L71CliqG3qt9N3Gw==" saltValue="H4Ss89ZbvjRTdpDMUvHp4A==" spinCount="100000" sheet="1" objects="1" scenarios="1"/>
  <mergeCells count="48">
    <mergeCell ref="L21:M21"/>
    <mergeCell ref="B24:G24"/>
    <mergeCell ref="I24:M24"/>
    <mergeCell ref="B25:D25"/>
    <mergeCell ref="I25:K25"/>
    <mergeCell ref="B26:D26"/>
    <mergeCell ref="I26:K26"/>
    <mergeCell ref="B27:D27"/>
    <mergeCell ref="I27:K27"/>
    <mergeCell ref="J21:K21"/>
    <mergeCell ref="D11:D12"/>
    <mergeCell ref="H17:I17"/>
    <mergeCell ref="L17:M17"/>
    <mergeCell ref="I7:K7"/>
    <mergeCell ref="B15:M15"/>
    <mergeCell ref="B10:M10"/>
    <mergeCell ref="L7:M7"/>
    <mergeCell ref="B11:C11"/>
    <mergeCell ref="H16:I16"/>
    <mergeCell ref="L16:M16"/>
    <mergeCell ref="I11:K11"/>
    <mergeCell ref="L11:M12"/>
    <mergeCell ref="U4:W4"/>
    <mergeCell ref="I5:J5"/>
    <mergeCell ref="L5:L6"/>
    <mergeCell ref="M5:M6"/>
    <mergeCell ref="D6:F6"/>
    <mergeCell ref="B4:D4"/>
    <mergeCell ref="F4:G4"/>
    <mergeCell ref="I4:J4"/>
    <mergeCell ref="K4:K6"/>
    <mergeCell ref="B6:C6"/>
    <mergeCell ref="O7:R7"/>
    <mergeCell ref="L8:M8"/>
    <mergeCell ref="O8:R8"/>
    <mergeCell ref="E11:E12"/>
    <mergeCell ref="F11:F12"/>
    <mergeCell ref="O11:R11"/>
    <mergeCell ref="O12:R13"/>
    <mergeCell ref="L13:M13"/>
    <mergeCell ref="G11:H11"/>
    <mergeCell ref="B2:G2"/>
    <mergeCell ref="I2:M2"/>
    <mergeCell ref="O2:R3"/>
    <mergeCell ref="B3:D3"/>
    <mergeCell ref="F3:G3"/>
    <mergeCell ref="I3:J3"/>
    <mergeCell ref="L3:M3"/>
  </mergeCells>
  <conditionalFormatting sqref="M4:M6">
    <cfRule type="expression" dxfId="64" priority="16">
      <formula>AND($K$4="وجه واحد",$M$5=0)</formula>
    </cfRule>
  </conditionalFormatting>
  <conditionalFormatting sqref="I21">
    <cfRule type="expression" dxfId="63" priority="15">
      <formula>$L$22=FALSE</formula>
    </cfRule>
  </conditionalFormatting>
  <conditionalFormatting sqref="J21">
    <cfRule type="expression" dxfId="62" priority="14">
      <formula>$L$22=FALSE</formula>
    </cfRule>
  </conditionalFormatting>
  <conditionalFormatting sqref="L21">
    <cfRule type="expression" dxfId="61" priority="13">
      <formula>$L$22=FALSE</formula>
    </cfRule>
  </conditionalFormatting>
  <conditionalFormatting sqref="E21">
    <cfRule type="expression" dxfId="60" priority="12">
      <formula>$L$22=TRUE</formula>
    </cfRule>
  </conditionalFormatting>
  <conditionalFormatting sqref="J8">
    <cfRule type="expression" dxfId="59" priority="11">
      <formula>$J$8="تأكد من المقاس"</formula>
    </cfRule>
  </conditionalFormatting>
  <conditionalFormatting sqref="J17">
    <cfRule type="expression" dxfId="58" priority="9">
      <formula>$J$17="تأكد من الورق"</formula>
    </cfRule>
  </conditionalFormatting>
  <conditionalFormatting sqref="O8">
    <cfRule type="expression" dxfId="57" priority="8">
      <formula>$O$8="أدخل العدد"</formula>
    </cfRule>
  </conditionalFormatting>
  <conditionalFormatting sqref="B6:C6">
    <cfRule type="expression" dxfId="56" priority="7">
      <formula>$W$3=TRUE</formula>
    </cfRule>
  </conditionalFormatting>
  <conditionalFormatting sqref="L5:L6">
    <cfRule type="expression" dxfId="55" priority="6">
      <formula>$L$5=""</formula>
    </cfRule>
  </conditionalFormatting>
  <conditionalFormatting sqref="G12:H13">
    <cfRule type="expression" dxfId="54" priority="3">
      <formula>ISNUMBER($H12)=TRUE</formula>
    </cfRule>
  </conditionalFormatting>
  <conditionalFormatting sqref="K17">
    <cfRule type="colorScale" priority="2">
      <colorScale>
        <cfvo type="formula" val="TODAY()-30"/>
        <cfvo type="formula" val="TODAY()-15"/>
        <cfvo type="formula" val="TODAY()"/>
        <color rgb="FFF8696B"/>
        <color rgb="FFFFEB84"/>
        <color rgb="FF63BE7B"/>
      </colorScale>
    </cfRule>
  </conditionalFormatting>
  <conditionalFormatting sqref="K4:K6">
    <cfRule type="expression" dxfId="53" priority="1">
      <formula>AND(ISODD($J$8)=TRUE,$K$4="طبع وقلب")</formula>
    </cfRule>
  </conditionalFormatting>
  <dataValidations count="14">
    <dataValidation type="whole" showInputMessage="1" showErrorMessage="1" sqref="L5:L6" xr:uid="{00000000-0002-0000-0600-000000000000}">
      <formula1>1</formula1>
      <formula2>10</formula2>
    </dataValidation>
    <dataValidation type="whole" allowBlank="1" showInputMessage="1" showErrorMessage="1" sqref="M5:M6" xr:uid="{00000000-0002-0000-0600-000001000000}">
      <formula1>1</formula1>
      <formula2>10</formula2>
    </dataValidation>
    <dataValidation type="list" allowBlank="1" showInputMessage="1" showErrorMessage="1" sqref="B17" xr:uid="{00000000-0002-0000-0600-000002000000}">
      <formula1>Papers_no3</formula1>
    </dataValidation>
    <dataValidation type="list" allowBlank="1" showInputMessage="1" showErrorMessage="1" sqref="E17" xr:uid="{00000000-0002-0000-0600-000003000000}">
      <formula1>Papers_Origin</formula1>
    </dataValidation>
    <dataValidation type="list" allowBlank="1" showInputMessage="1" showErrorMessage="1" sqref="F17" xr:uid="{00000000-0002-0000-0600-000004000000}">
      <formula1>Papers_ma5zan</formula1>
    </dataValidation>
    <dataValidation type="list" allowBlank="1" showInputMessage="1" showErrorMessage="1" sqref="K4:K6" xr:uid="{00000000-0002-0000-0600-000005000000}">
      <formula1>"وجه واحد,وجهين,طبع وقلب"</formula1>
    </dataValidation>
    <dataValidation type="list" allowBlank="1" showInputMessage="1" showErrorMessage="1" sqref="F21" xr:uid="{00000000-0002-0000-0600-000006000000}">
      <formula1>"وجه واحد,وجهين"</formula1>
    </dataValidation>
    <dataValidation type="list" allowBlank="1" showInputMessage="1" showErrorMessage="1" sqref="E19" xr:uid="{00000000-0002-0000-0600-000007000000}">
      <formula1>"إضافة,طرح"</formula1>
    </dataValidation>
    <dataValidation type="whole" operator="greaterThan" allowBlank="1" showInputMessage="1" showErrorMessage="1" sqref="E4" xr:uid="{00000000-0002-0000-0600-000008000000}">
      <formula1>0</formula1>
    </dataValidation>
    <dataValidation type="list" allowBlank="1" showInputMessage="1" showErrorMessage="1" sqref="D8" xr:uid="{00000000-0002-0000-0600-000009000000}">
      <formula1>CTP_mktb</formula1>
    </dataValidation>
    <dataValidation type="list" allowBlank="1" showInputMessage="1" showErrorMessage="1" sqref="C8 J13" xr:uid="{00000000-0002-0000-0600-00000A000000}">
      <formula1>Mkn_Sizes</formula1>
    </dataValidation>
    <dataValidation type="list" allowBlank="1" showInputMessage="1" showErrorMessage="1" sqref="I13" xr:uid="{00000000-0002-0000-0600-00000B000000}">
      <formula1>Offset_presses</formula1>
    </dataValidation>
    <dataValidation type="list" allowBlank="1" showInputMessage="1" showErrorMessage="1" sqref="C17" xr:uid="{00000000-0002-0000-0600-00000C000000}">
      <formula1>"فرخ 70*100,فرخ جاير 88*66"</formula1>
    </dataValidation>
    <dataValidation type="list" allowBlank="1" showInputMessage="1" showErrorMessage="1" sqref="B21" xr:uid="{00000000-0002-0000-0600-00000D000000}">
      <formula1>Lamination_Services</formula1>
    </dataValidation>
  </dataValidations>
  <pageMargins left="0.7" right="0.7" top="0.75" bottom="0.75" header="0.3" footer="0.3"/>
  <ignoredErrors>
    <ignoredError sqref="N1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locked="0" defaultSize="0" autoFill="0" autoLine="0" autoPict="0">
                <anchor moveWithCells="1">
                  <from>
                    <xdr:col>9</xdr:col>
                    <xdr:colOff>590550</xdr:colOff>
                    <xdr:row>17</xdr:row>
                    <xdr:rowOff>152400</xdr:rowOff>
                  </from>
                  <to>
                    <xdr:col>9</xdr:col>
                    <xdr:colOff>809625</xdr:colOff>
                    <xdr:row>19</xdr:row>
                    <xdr:rowOff>0</xdr:rowOff>
                  </to>
                </anchor>
              </controlPr>
            </control>
          </mc:Choice>
        </mc:AlternateContent>
        <mc:AlternateContent xmlns:mc="http://schemas.openxmlformats.org/markup-compatibility/2006">
          <mc:Choice Requires="x14">
            <control shapeId="5122" r:id="rId4" name="Check Box 2">
              <controlPr defaultSize="0" autoFill="0" autoLine="0" autoPict="0">
                <anchor>
                  <from>
                    <xdr:col>2</xdr:col>
                    <xdr:colOff>28575</xdr:colOff>
                    <xdr:row>4</xdr:row>
                    <xdr:rowOff>95250</xdr:rowOff>
                  </from>
                  <to>
                    <xdr:col>2</xdr:col>
                    <xdr:colOff>247650</xdr:colOff>
                    <xdr:row>5</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E000000}">
          <x14:formula1>
            <xm:f>'خدمات الطباعة'!$Y$5:$Y$8</xm:f>
          </x14:formula1>
          <xm:sqref>L20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B1:Y29"/>
  <sheetViews>
    <sheetView showZeros="0" rightToLeft="1" zoomScale="120" zoomScaleNormal="120" workbookViewId="0">
      <selection activeCell="O18" sqref="O18"/>
    </sheetView>
  </sheetViews>
  <sheetFormatPr defaultColWidth="9" defaultRowHeight="14.25" x14ac:dyDescent="0.2"/>
  <cols>
    <col min="1" max="1" width="3" style="46" customWidth="1"/>
    <col min="2" max="2" width="10.625" style="46" bestFit="1" customWidth="1"/>
    <col min="3" max="3" width="10.375" style="46" customWidth="1"/>
    <col min="4" max="4" width="11.125" style="46" bestFit="1" customWidth="1"/>
    <col min="5" max="5" width="11.25" style="46" customWidth="1"/>
    <col min="6" max="7" width="12.125" style="46" customWidth="1"/>
    <col min="8" max="8" width="12" style="46" customWidth="1"/>
    <col min="9" max="9" width="9.375" style="46" bestFit="1" customWidth="1"/>
    <col min="10" max="10" width="4.625" style="46" customWidth="1"/>
    <col min="11" max="11" width="10.25" style="46" bestFit="1" customWidth="1"/>
    <col min="12" max="12" width="12.25" style="46" customWidth="1"/>
    <col min="13" max="13" width="11.125" style="46" bestFit="1" customWidth="1"/>
    <col min="14" max="15" width="11.25" style="46" bestFit="1" customWidth="1"/>
    <col min="16" max="16" width="5.625" style="46" customWidth="1"/>
    <col min="17" max="17" width="9.375" style="46" bestFit="1" customWidth="1"/>
    <col min="18" max="18" width="11.125" style="46" bestFit="1" customWidth="1"/>
    <col min="19" max="19" width="9" style="46"/>
    <col min="20" max="20" width="6.625" style="46" bestFit="1" customWidth="1"/>
    <col min="21" max="21" width="9.625" style="46" hidden="1" customWidth="1"/>
    <col min="22" max="22" width="10.25" style="46" hidden="1" customWidth="1"/>
    <col min="23" max="24" width="6.875" style="46" hidden="1" customWidth="1"/>
    <col min="25" max="25" width="10.125" style="46" hidden="1" customWidth="1"/>
    <col min="26" max="16384" width="9" style="46"/>
  </cols>
  <sheetData>
    <row r="1" spans="2:25" ht="14.25" customHeight="1" x14ac:dyDescent="0.2">
      <c r="D1" s="867" t="s">
        <v>163</v>
      </c>
      <c r="E1" s="868"/>
      <c r="F1" s="868"/>
      <c r="G1" s="868"/>
      <c r="H1" s="868"/>
      <c r="I1" s="868"/>
      <c r="J1" s="868"/>
      <c r="K1" s="868"/>
      <c r="L1" s="868"/>
      <c r="M1" s="869"/>
    </row>
    <row r="2" spans="2:25" ht="15" thickBot="1" x14ac:dyDescent="0.25">
      <c r="D2" s="870"/>
      <c r="E2" s="871"/>
      <c r="F2" s="871"/>
      <c r="G2" s="871"/>
      <c r="H2" s="871"/>
      <c r="I2" s="871"/>
      <c r="J2" s="871"/>
      <c r="K2" s="871"/>
      <c r="L2" s="871"/>
      <c r="M2" s="872"/>
    </row>
    <row r="3" spans="2:25" ht="15" thickBot="1" x14ac:dyDescent="0.25">
      <c r="J3" s="1"/>
      <c r="P3" s="47"/>
    </row>
    <row r="4" spans="2:25" ht="18.75" thickBot="1" x14ac:dyDescent="0.25">
      <c r="B4" s="725" t="s">
        <v>1</v>
      </c>
      <c r="C4" s="726"/>
      <c r="D4" s="726"/>
      <c r="E4" s="726"/>
      <c r="F4" s="726"/>
      <c r="G4" s="726"/>
      <c r="H4" s="726"/>
      <c r="I4" s="727"/>
      <c r="J4" s="1"/>
      <c r="K4" s="728" t="s">
        <v>68</v>
      </c>
      <c r="L4" s="729"/>
      <c r="M4" s="729"/>
      <c r="N4" s="729"/>
      <c r="O4" s="730"/>
      <c r="P4" s="48"/>
      <c r="Q4"/>
      <c r="R4"/>
    </row>
    <row r="5" spans="2:25" ht="15.75" x14ac:dyDescent="0.2">
      <c r="B5" s="873" t="s">
        <v>7</v>
      </c>
      <c r="C5" s="874"/>
      <c r="D5" s="875"/>
      <c r="E5" s="130" t="s">
        <v>71</v>
      </c>
      <c r="F5" s="876" t="s">
        <v>60</v>
      </c>
      <c r="G5" s="738"/>
      <c r="H5" s="738"/>
      <c r="I5" s="739"/>
      <c r="J5" s="1"/>
      <c r="K5" s="742" t="s">
        <v>72</v>
      </c>
      <c r="L5" s="493"/>
      <c r="M5" s="50" t="s">
        <v>22</v>
      </c>
      <c r="N5" s="742" t="s">
        <v>82</v>
      </c>
      <c r="O5" s="493"/>
      <c r="P5" s="48"/>
      <c r="Q5" s="745" t="s">
        <v>138</v>
      </c>
      <c r="R5" s="746"/>
      <c r="S5" s="747"/>
    </row>
    <row r="6" spans="2:25" ht="27" customHeight="1" thickBot="1" x14ac:dyDescent="0.25">
      <c r="B6" s="773" t="str">
        <f>مطبوعات!E5</f>
        <v xml:space="preserve"> MWHEBA</v>
      </c>
      <c r="C6" s="774"/>
      <c r="D6" s="775"/>
      <c r="E6" s="51">
        <f>مطبوعات!I5</f>
        <v>6000</v>
      </c>
      <c r="F6" s="863" t="str">
        <f>CONCATENATE(مطبوعات!J5," ",مطبوعات!K5)</f>
        <v xml:space="preserve"> </v>
      </c>
      <c r="G6" s="569"/>
      <c r="H6" s="569"/>
      <c r="I6" s="570"/>
      <c r="J6" s="1"/>
      <c r="K6" s="776" t="str">
        <f>IF(K8&gt;0,CONCATENATE(K8," x ",L8),0)</f>
        <v>6 x 10</v>
      </c>
      <c r="L6" s="777"/>
      <c r="M6" s="864" t="s">
        <v>247</v>
      </c>
      <c r="N6" s="184">
        <f>IF(AND(K8&gt;0,L8&gt;0),Y13,"تأكد من المقاس")</f>
        <v>24</v>
      </c>
      <c r="O6" s="68" t="s">
        <v>88</v>
      </c>
      <c r="P6" s="54"/>
      <c r="Q6" s="750">
        <f>Q11/E6</f>
        <v>0.79266666666666663</v>
      </c>
      <c r="R6" s="751"/>
      <c r="S6" s="752"/>
      <c r="W6" s="854" t="s">
        <v>74</v>
      </c>
      <c r="X6" s="854"/>
      <c r="Y6" s="854"/>
    </row>
    <row r="7" spans="2:25" ht="16.5" thickBot="1" x14ac:dyDescent="0.25">
      <c r="J7" s="1"/>
      <c r="K7" s="125"/>
      <c r="L7" s="126"/>
      <c r="M7" s="865"/>
      <c r="N7" s="527" t="s">
        <v>81</v>
      </c>
      <c r="O7" s="514"/>
      <c r="Q7"/>
    </row>
    <row r="8" spans="2:25" ht="18.75" thickBot="1" x14ac:dyDescent="0.25">
      <c r="B8" s="855" t="s">
        <v>165</v>
      </c>
      <c r="C8" s="856"/>
      <c r="D8" s="857"/>
      <c r="E8" s="858"/>
      <c r="F8" s="859"/>
      <c r="G8" s="860"/>
      <c r="H8" s="806" t="s">
        <v>85</v>
      </c>
      <c r="I8" s="808"/>
      <c r="J8" s="66"/>
      <c r="K8" s="173">
        <v>6</v>
      </c>
      <c r="L8" s="157">
        <v>10</v>
      </c>
      <c r="M8" s="866"/>
      <c r="N8" s="861"/>
      <c r="O8" s="862"/>
      <c r="Q8"/>
      <c r="R8"/>
      <c r="U8" s="50" t="s">
        <v>166</v>
      </c>
      <c r="V8" s="50" t="s">
        <v>98</v>
      </c>
      <c r="W8" s="46" t="s">
        <v>72</v>
      </c>
      <c r="X8" s="46">
        <f>DGET(Data!$I$3:$K$8,Data!$J$3,$E$12:$E$13)</f>
        <v>48</v>
      </c>
      <c r="Y8" s="46">
        <f>DGET(Data!$I$3:$K$8,Data!$K$3,$E$12:$E$13)</f>
        <v>32</v>
      </c>
    </row>
    <row r="9" spans="2:25" ht="15" thickBot="1" x14ac:dyDescent="0.25">
      <c r="B9" s="1"/>
      <c r="C9" s="1"/>
      <c r="D9" s="1"/>
      <c r="E9" s="1"/>
      <c r="F9" s="1"/>
      <c r="G9" s="1"/>
      <c r="H9" s="1"/>
      <c r="I9" s="1"/>
      <c r="J9" s="1"/>
      <c r="K9" s="1"/>
      <c r="L9" s="1"/>
      <c r="M9" s="1"/>
      <c r="N9" s="1"/>
      <c r="O9" s="1"/>
      <c r="Q9"/>
      <c r="R9"/>
      <c r="U9" s="131" t="b">
        <v>1</v>
      </c>
      <c r="V9" s="131" t="str">
        <f>D13</f>
        <v>فاست برنت</v>
      </c>
      <c r="W9" s="46">
        <f>K8</f>
        <v>6</v>
      </c>
      <c r="X9" s="46">
        <f>ROUNDDOWN(X8/W9,0)</f>
        <v>8</v>
      </c>
      <c r="Y9" s="46">
        <f>ROUNDDOWN(Y8/W9,0)</f>
        <v>5</v>
      </c>
    </row>
    <row r="10" spans="2:25" ht="18.75" thickBot="1" x14ac:dyDescent="0.25">
      <c r="B10" s="791" t="s">
        <v>167</v>
      </c>
      <c r="C10" s="792"/>
      <c r="D10" s="792"/>
      <c r="E10" s="792"/>
      <c r="F10" s="792"/>
      <c r="G10" s="792"/>
      <c r="H10" s="792"/>
      <c r="I10" s="793"/>
      <c r="K10" s="806" t="s">
        <v>25</v>
      </c>
      <c r="L10" s="833"/>
      <c r="M10" s="834" t="s">
        <v>168</v>
      </c>
      <c r="N10" s="835"/>
      <c r="O10" s="836"/>
      <c r="Q10" s="753" t="s">
        <v>30</v>
      </c>
      <c r="R10" s="754"/>
      <c r="S10" s="755"/>
      <c r="W10" s="46">
        <f>L8</f>
        <v>10</v>
      </c>
      <c r="X10" s="46">
        <f>ROUNDDOWN(X8/W10,0)</f>
        <v>4</v>
      </c>
      <c r="Y10" s="46">
        <f>ROUNDDOWN(Y8/W10,0)</f>
        <v>3</v>
      </c>
    </row>
    <row r="11" spans="2:25" ht="14.1" customHeight="1" x14ac:dyDescent="0.2">
      <c r="B11" s="845" t="s">
        <v>92</v>
      </c>
      <c r="C11" s="846" t="s">
        <v>93</v>
      </c>
      <c r="D11" s="848" t="s">
        <v>96</v>
      </c>
      <c r="E11" s="848"/>
      <c r="F11" s="848"/>
      <c r="G11" s="848"/>
      <c r="H11" s="527" t="s">
        <v>81</v>
      </c>
      <c r="I11" s="514"/>
      <c r="K11" s="80" t="s">
        <v>120</v>
      </c>
      <c r="L11" s="96" t="s">
        <v>81</v>
      </c>
      <c r="M11" s="187" t="s">
        <v>26</v>
      </c>
      <c r="N11" s="27" t="s">
        <v>121</v>
      </c>
      <c r="O11" s="81" t="s">
        <v>126</v>
      </c>
      <c r="Q11" s="756">
        <f>IFERROR(IF(H18="ادخل سعر الفرخ",0,N8+M12+N12+O12+L12+H13+H18+(O18*N18)+(O19*N19)+(O23*N23)+(O24*N24)),0)</f>
        <v>4756</v>
      </c>
      <c r="R11" s="757"/>
      <c r="S11" s="758"/>
    </row>
    <row r="12" spans="2:25" ht="15" customHeight="1" x14ac:dyDescent="0.2">
      <c r="B12" s="783"/>
      <c r="C12" s="847"/>
      <c r="D12" s="132" t="s">
        <v>98</v>
      </c>
      <c r="E12" s="72" t="s">
        <v>99</v>
      </c>
      <c r="F12" s="70" t="s">
        <v>169</v>
      </c>
      <c r="G12" s="132" t="s">
        <v>170</v>
      </c>
      <c r="H12" s="528"/>
      <c r="I12" s="515"/>
      <c r="K12" s="852"/>
      <c r="L12" s="837">
        <f>IF(K12&lt;&gt;"",E18*DGET('خدمات الطباعة'!$AB$3:$AD$19,'خدمات الطباعة'!AC3,K11:K12),0)</f>
        <v>0</v>
      </c>
      <c r="M12" s="839">
        <f>IF(M14=TRUE,(ROUNDUP(B13/1000,0))*(DGET('خدمات الطباعة'!AB3:AD19,'خدمات الطباعة'!AC3,M10:M11)),0)</f>
        <v>0</v>
      </c>
      <c r="N12" s="841"/>
      <c r="O12" s="843"/>
      <c r="Q12" s="849"/>
      <c r="R12" s="850"/>
      <c r="S12" s="851"/>
      <c r="Y12" s="46" t="s">
        <v>90</v>
      </c>
    </row>
    <row r="13" spans="2:25" ht="18.75" thickBot="1" x14ac:dyDescent="0.25">
      <c r="B13" s="74">
        <f>IF(N6="تأكد من المقاس",0,U21+IF(H23="محتسبة هنا",F23)+IF(H24="محتسبة هنا",F24))</f>
        <v>250</v>
      </c>
      <c r="C13" s="133">
        <f>IF(M6="وجه واحد",U21,U21*2)+IF(H23="محتسبة هنا",U23)+IF(H24="محتسبة هنا",U24)</f>
        <v>500</v>
      </c>
      <c r="D13" s="134" t="s">
        <v>171</v>
      </c>
      <c r="E13" s="135" t="s">
        <v>233</v>
      </c>
      <c r="F13" s="136" t="str">
        <f>IF(B13=0,0,DGET(المطابع!$N$4:$U$108,المطابع!$T$4,U8:V9))</f>
        <v>8</v>
      </c>
      <c r="G13" s="186" t="str">
        <f>IF(B13=0,"",DGET(المطابع!N4:U104,المطابع!U4,U8:V9))</f>
        <v>غير شامل الورق</v>
      </c>
      <c r="H13" s="831">
        <f>F13*C13</f>
        <v>4000</v>
      </c>
      <c r="I13" s="832"/>
      <c r="K13" s="853"/>
      <c r="L13" s="838"/>
      <c r="M13" s="840"/>
      <c r="N13" s="842"/>
      <c r="O13" s="844"/>
      <c r="Q13" s="759"/>
      <c r="R13" s="760"/>
      <c r="S13" s="761"/>
      <c r="Y13" s="46">
        <f>MAX(Y10*X9,X10*Y9)</f>
        <v>24</v>
      </c>
    </row>
    <row r="14" spans="2:25" ht="18" hidden="1" x14ac:dyDescent="0.2">
      <c r="B14" s="138"/>
      <c r="C14" s="138"/>
      <c r="D14" s="139"/>
      <c r="E14" s="140"/>
      <c r="F14" s="141"/>
      <c r="G14" s="141"/>
      <c r="H14" s="142"/>
      <c r="I14" s="142"/>
      <c r="K14" s="143"/>
      <c r="L14" s="144"/>
      <c r="M14" s="128" t="b">
        <v>0</v>
      </c>
      <c r="O14" s="128"/>
      <c r="Q14" s="145"/>
      <c r="R14" s="145"/>
    </row>
    <row r="15" spans="2:25" ht="15" thickBot="1" x14ac:dyDescent="0.25">
      <c r="B15" s="1"/>
      <c r="C15" s="1"/>
      <c r="D15" s="1"/>
      <c r="E15" s="1"/>
      <c r="F15" s="79">
        <v>46204.655277777776</v>
      </c>
      <c r="G15" s="1"/>
      <c r="H15" s="1"/>
      <c r="I15" s="1"/>
      <c r="L15" s="1"/>
    </row>
    <row r="16" spans="2:25" ht="18.75" thickBot="1" x14ac:dyDescent="0.25">
      <c r="B16" s="788" t="s">
        <v>172</v>
      </c>
      <c r="C16" s="789"/>
      <c r="D16" s="789"/>
      <c r="E16" s="789"/>
      <c r="F16" s="789"/>
      <c r="G16" s="789"/>
      <c r="H16" s="146"/>
      <c r="I16" s="147"/>
      <c r="K16" s="806" t="s">
        <v>173</v>
      </c>
      <c r="L16" s="807"/>
      <c r="M16" s="807"/>
      <c r="N16" s="807"/>
      <c r="O16" s="808"/>
      <c r="U16" s="46">
        <f>IF(J13&gt;B13,"خطأ ألوان مخصوصة",0)</f>
        <v>0</v>
      </c>
    </row>
    <row r="17" spans="2:22" ht="14.1" customHeight="1" x14ac:dyDescent="0.2">
      <c r="B17" s="123" t="s">
        <v>103</v>
      </c>
      <c r="C17" s="121" t="s">
        <v>104</v>
      </c>
      <c r="D17" s="121" t="s">
        <v>106</v>
      </c>
      <c r="E17" s="122" t="s">
        <v>71</v>
      </c>
      <c r="F17" s="123" t="s">
        <v>108</v>
      </c>
      <c r="G17" s="123" t="s">
        <v>174</v>
      </c>
      <c r="H17" s="817" t="s">
        <v>81</v>
      </c>
      <c r="I17" s="818"/>
      <c r="K17" s="742" t="s">
        <v>60</v>
      </c>
      <c r="L17" s="491"/>
      <c r="M17" s="492"/>
      <c r="N17" s="27" t="s">
        <v>71</v>
      </c>
      <c r="O17" s="28" t="s">
        <v>127</v>
      </c>
    </row>
    <row r="18" spans="2:22" ht="15" x14ac:dyDescent="0.2">
      <c r="B18" s="819" t="s">
        <v>111</v>
      </c>
      <c r="C18" s="821">
        <v>300</v>
      </c>
      <c r="D18" s="823" t="s">
        <v>171</v>
      </c>
      <c r="E18" s="825">
        <f>ROUNDUP(IF(E13="ثمن",B13/8,IF(OR(E13="ربع",E13="ربع (A3+)"),B13/4,B13/2)),0)</f>
        <v>63</v>
      </c>
      <c r="F18" s="827">
        <f>IF(G13="غير شامل الورق",IFERROR(INDEX('أسعار الورق'!$H$3:$H$74,SUMPRODUCT(('أسعار الورق'!$B$3:$B$74=B18)*('أسعار الورق'!$D$3:$D$74=C18)*('أسعار الورق'!$F$3:$F$74=D18)*ROW('أسعار الورق'!$H$3:$H$74))-2,0),"تأكد من الورق"),0)</f>
        <v>12</v>
      </c>
      <c r="G18" s="827" cm="1">
        <f t="array" ref="G18">IF(G13="شامل ورق",IF(B18="كوشيه","لا يوجد",IFERROR(_xlfn.SINGLE(INDEX('أسعار الورق'!$I$3:$I$74,SUMPRODUCT(('أسعار الورق'!$B$3:$B$74=B18)*('أسعار الورق'!$D$3:$D$74=C18)*('أسعار الورق'!$F$3:$F$74=D18)*ROW('أسعار الورق'!$I$3:$I$74))-2,0)),"تأكد من الورق")),0)</f>
        <v>0</v>
      </c>
      <c r="H18" s="829">
        <f>IFERROR(IF(F18="-","ادخل سعر الفرخ",F18*E18+G18*E18),0)</f>
        <v>756</v>
      </c>
      <c r="I18" s="830"/>
      <c r="K18" s="794"/>
      <c r="L18" s="795"/>
      <c r="M18" s="796"/>
      <c r="N18" s="112"/>
      <c r="O18" s="148"/>
    </row>
    <row r="19" spans="2:22" ht="15.75" thickBot="1" x14ac:dyDescent="0.25">
      <c r="B19" s="820"/>
      <c r="C19" s="822"/>
      <c r="D19" s="824"/>
      <c r="E19" s="826"/>
      <c r="F19" s="828"/>
      <c r="G19" s="828"/>
      <c r="H19" s="831"/>
      <c r="I19" s="832"/>
      <c r="J19" s="188" t="str">
        <f ca="1">CELL("address",INDEX('أسعار الورق'!$H$3:$H$74,SUMPRODUCT(('أسعار الورق'!$B$3:$B$74=B18)*('أسعار الورق'!$D$3:$D$74=C18)*('أسعار الورق'!$F$3:$F$74=D18)*ROW('أسعار الورق'!$H$3:$H$74))-2,0))</f>
        <v>'[Pricing 2024.xlsm]أسعار الورق'!$H$9</v>
      </c>
      <c r="K19" s="800"/>
      <c r="L19" s="801"/>
      <c r="M19" s="802"/>
      <c r="N19" s="115"/>
      <c r="O19" s="149"/>
    </row>
    <row r="20" spans="2:22" ht="15" thickBot="1" x14ac:dyDescent="0.25">
      <c r="B20" s="1"/>
      <c r="C20" s="1"/>
      <c r="D20" s="1"/>
      <c r="E20" s="1"/>
      <c r="F20" s="1"/>
      <c r="G20" s="1"/>
      <c r="H20" s="1"/>
      <c r="I20" s="1"/>
      <c r="J20" s="1"/>
      <c r="U20" s="46" t="s">
        <v>175</v>
      </c>
    </row>
    <row r="21" spans="2:22" ht="18.75" thickBot="1" x14ac:dyDescent="0.25">
      <c r="C21" s="811" t="s">
        <v>176</v>
      </c>
      <c r="D21" s="812"/>
      <c r="E21" s="812"/>
      <c r="F21" s="812"/>
      <c r="G21" s="812"/>
      <c r="H21" s="813"/>
      <c r="K21" s="806" t="s">
        <v>126</v>
      </c>
      <c r="L21" s="807"/>
      <c r="M21" s="807"/>
      <c r="N21" s="807"/>
      <c r="O21" s="808"/>
      <c r="U21" s="46">
        <f>IF(N6="تأكد من المقاس",0,ROUNDUP(E6/N6,0)+E8)</f>
        <v>250</v>
      </c>
    </row>
    <row r="22" spans="2:22" ht="15" customHeight="1" x14ac:dyDescent="0.2">
      <c r="C22" s="124" t="s">
        <v>60</v>
      </c>
      <c r="D22" s="814" t="s">
        <v>170</v>
      </c>
      <c r="E22" s="492"/>
      <c r="F22" s="27" t="s">
        <v>92</v>
      </c>
      <c r="G22" s="27" t="s">
        <v>22</v>
      </c>
      <c r="H22" s="28" t="s">
        <v>177</v>
      </c>
      <c r="I22"/>
      <c r="K22" s="742" t="s">
        <v>60</v>
      </c>
      <c r="L22" s="491"/>
      <c r="M22" s="492"/>
      <c r="N22" s="27" t="s">
        <v>71</v>
      </c>
      <c r="O22" s="28" t="s">
        <v>127</v>
      </c>
      <c r="U22" s="46" t="s">
        <v>93</v>
      </c>
      <c r="V22" s="46" t="s">
        <v>93</v>
      </c>
    </row>
    <row r="23" spans="2:22" ht="15" x14ac:dyDescent="0.2">
      <c r="C23" s="150"/>
      <c r="D23" s="815"/>
      <c r="E23" s="816"/>
      <c r="F23" s="151"/>
      <c r="G23" s="152"/>
      <c r="H23" s="148"/>
      <c r="I23"/>
      <c r="K23" s="794"/>
      <c r="L23" s="795"/>
      <c r="M23" s="796"/>
      <c r="N23" s="112"/>
      <c r="O23" s="148"/>
      <c r="U23" s="46">
        <f>IF(G23="وجهين",F23*2,F23)</f>
        <v>0</v>
      </c>
      <c r="V23" s="46">
        <f>IF(H23="داخلي",U23)+IF(H24="داخلي",U24)+C13</f>
        <v>500</v>
      </c>
    </row>
    <row r="24" spans="2:22" ht="15.75" thickBot="1" x14ac:dyDescent="0.25">
      <c r="C24" s="153"/>
      <c r="D24" s="809"/>
      <c r="E24" s="810"/>
      <c r="F24" s="154"/>
      <c r="G24" s="155"/>
      <c r="H24" s="149"/>
      <c r="I24"/>
      <c r="J24" s="111"/>
      <c r="K24" s="800"/>
      <c r="L24" s="801"/>
      <c r="M24" s="802"/>
      <c r="N24" s="115"/>
      <c r="O24" s="149"/>
      <c r="U24" s="46">
        <f>IF(G24="وجهين",F24*2,F24)</f>
        <v>0</v>
      </c>
    </row>
    <row r="25" spans="2:22" ht="13.5" customHeight="1" x14ac:dyDescent="0.2"/>
    <row r="28" spans="2:22" ht="20.100000000000001" customHeight="1" x14ac:dyDescent="0.2"/>
    <row r="29" spans="2:22" ht="20.100000000000001" customHeight="1" x14ac:dyDescent="0.2"/>
  </sheetData>
  <sheetProtection algorithmName="SHA-512" hashValue="PrARk4tH4aHDWNjScNVQXngFc7ixteQyKzVRS5AayjsmCk55HAaWPM58cDseLH4F5pfeM9oF1RbrKbsUsLsKSw==" saltValue="I8ZH9lMLP2pTasnrupBgNw==" spinCount="100000" sheet="1" objects="1" scenarios="1"/>
  <mergeCells count="55">
    <mergeCell ref="D1:M2"/>
    <mergeCell ref="B4:I4"/>
    <mergeCell ref="K4:O4"/>
    <mergeCell ref="B5:D5"/>
    <mergeCell ref="F5:I5"/>
    <mergeCell ref="K5:L5"/>
    <mergeCell ref="N5:O5"/>
    <mergeCell ref="Q5:S5"/>
    <mergeCell ref="B6:D6"/>
    <mergeCell ref="F6:I6"/>
    <mergeCell ref="K6:L6"/>
    <mergeCell ref="M6:M8"/>
    <mergeCell ref="Q6:S6"/>
    <mergeCell ref="W6:Y6"/>
    <mergeCell ref="N7:O7"/>
    <mergeCell ref="B8:D8"/>
    <mergeCell ref="E8:G8"/>
    <mergeCell ref="H8:I8"/>
    <mergeCell ref="N8:O8"/>
    <mergeCell ref="Q10:S10"/>
    <mergeCell ref="B11:B12"/>
    <mergeCell ref="C11:C12"/>
    <mergeCell ref="D11:G11"/>
    <mergeCell ref="H11:I12"/>
    <mergeCell ref="Q11:S13"/>
    <mergeCell ref="K12:K13"/>
    <mergeCell ref="B16:G16"/>
    <mergeCell ref="K16:O16"/>
    <mergeCell ref="B10:I10"/>
    <mergeCell ref="K10:L10"/>
    <mergeCell ref="M10:O10"/>
    <mergeCell ref="L12:L13"/>
    <mergeCell ref="M12:M13"/>
    <mergeCell ref="N12:N13"/>
    <mergeCell ref="O12:O13"/>
    <mergeCell ref="H13:I13"/>
    <mergeCell ref="H17:I17"/>
    <mergeCell ref="K17:M17"/>
    <mergeCell ref="B18:B19"/>
    <mergeCell ref="C18:C19"/>
    <mergeCell ref="D18:D19"/>
    <mergeCell ref="E18:E19"/>
    <mergeCell ref="F18:F19"/>
    <mergeCell ref="G18:G19"/>
    <mergeCell ref="H18:I19"/>
    <mergeCell ref="K18:M18"/>
    <mergeCell ref="D24:E24"/>
    <mergeCell ref="K24:M24"/>
    <mergeCell ref="K19:M19"/>
    <mergeCell ref="C21:H21"/>
    <mergeCell ref="K21:O21"/>
    <mergeCell ref="D22:E22"/>
    <mergeCell ref="K22:M22"/>
    <mergeCell ref="D23:E23"/>
    <mergeCell ref="K23:M23"/>
  </mergeCells>
  <conditionalFormatting sqref="N6">
    <cfRule type="expression" dxfId="52" priority="9">
      <formula>$N$6="تأكد من المقاس"</formula>
    </cfRule>
  </conditionalFormatting>
  <conditionalFormatting sqref="G17:G19">
    <cfRule type="expression" dxfId="51" priority="8">
      <formula>$G$13="غير شامل الورق"</formula>
    </cfRule>
  </conditionalFormatting>
  <conditionalFormatting sqref="F17:F19">
    <cfRule type="expression" dxfId="50" priority="7">
      <formula>$G$13="شامل ورق"</formula>
    </cfRule>
  </conditionalFormatting>
  <conditionalFormatting sqref="H18">
    <cfRule type="expression" dxfId="49" priority="6">
      <formula>$H$18="ادخل سعر الفرخ"</formula>
    </cfRule>
  </conditionalFormatting>
  <conditionalFormatting sqref="H23">
    <cfRule type="expression" dxfId="48" priority="5">
      <formula>AND($H$23=0,$C$23&lt;&gt;"")</formula>
    </cfRule>
  </conditionalFormatting>
  <conditionalFormatting sqref="H24">
    <cfRule type="expression" dxfId="47" priority="4">
      <formula>AND($H$24=0,$C$24&lt;&gt;"")</formula>
    </cfRule>
  </conditionalFormatting>
  <conditionalFormatting sqref="G24">
    <cfRule type="expression" dxfId="46" priority="3">
      <formula>AND($G$24=0,$C$24&lt;&gt;"")</formula>
    </cfRule>
  </conditionalFormatting>
  <conditionalFormatting sqref="G23">
    <cfRule type="expression" dxfId="45" priority="2">
      <formula>AND($G$23=0,$C$23&lt;&gt;"")</formula>
    </cfRule>
  </conditionalFormatting>
  <conditionalFormatting sqref="D18:D19">
    <cfRule type="expression" dxfId="44" priority="1">
      <formula>$D$18&lt;&gt;$D$13</formula>
    </cfRule>
  </conditionalFormatting>
  <dataValidations count="7">
    <dataValidation type="list" allowBlank="1" showInputMessage="1" showErrorMessage="1" sqref="D18:D19" xr:uid="{00000000-0002-0000-0700-000000000000}">
      <formula1>Papers_ma5zan</formula1>
    </dataValidation>
    <dataValidation type="list" allowBlank="1" showInputMessage="1" showErrorMessage="1" sqref="B18:B19" xr:uid="{00000000-0002-0000-0700-000001000000}">
      <formula1>Papers_no3</formula1>
    </dataValidation>
    <dataValidation type="list" allowBlank="1" showInputMessage="1" showErrorMessage="1" sqref="H23:H24" xr:uid="{00000000-0002-0000-0700-000002000000}">
      <formula1>"محتسبة هنا,داخلي"</formula1>
    </dataValidation>
    <dataValidation type="list" allowBlank="1" showInputMessage="1" showErrorMessage="1" sqref="G23:G24 M6:M8" xr:uid="{00000000-0002-0000-0700-000003000000}">
      <formula1>"وجه واحد,وجهين"</formula1>
    </dataValidation>
    <dataValidation type="list" allowBlank="1" showInputMessage="1" showErrorMessage="1" sqref="E13" xr:uid="{00000000-0002-0000-0700-000004000000}">
      <formula1>"ربع,ربع (A3+)"</formula1>
    </dataValidation>
    <dataValidation type="list" allowBlank="1" showInputMessage="1" showErrorMessage="1" sqref="D13" xr:uid="{00000000-0002-0000-0700-000005000000}">
      <formula1>Digital_Presses</formula1>
    </dataValidation>
    <dataValidation type="list" allowBlank="1" showInputMessage="1" showErrorMessage="1" sqref="K12:K13" xr:uid="{00000000-0002-0000-0700-000006000000}">
      <formula1>Lamination_Services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locked="0" defaultSize="0" autoFill="0" autoLine="0" autoPict="0">
                <anchor moveWithCells="1">
                  <from>
                    <xdr:col>12</xdr:col>
                    <xdr:colOff>28575</xdr:colOff>
                    <xdr:row>9</xdr:row>
                    <xdr:rowOff>219075</xdr:rowOff>
                  </from>
                  <to>
                    <xdr:col>12</xdr:col>
                    <xdr:colOff>238125</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'خدمات الطباعة'!$AD$8:$AD$11</xm:f>
          </x14:formula1>
          <xm:sqref>M11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Z26"/>
  <sheetViews>
    <sheetView showZeros="0" rightToLeft="1" zoomScale="110" zoomScaleNormal="110" workbookViewId="0">
      <selection activeCell="F4" sqref="F4:G4"/>
    </sheetView>
  </sheetViews>
  <sheetFormatPr defaultColWidth="9" defaultRowHeight="14.25" x14ac:dyDescent="0.2"/>
  <cols>
    <col min="1" max="1" width="3" style="46" customWidth="1"/>
    <col min="2" max="7" width="12.625" style="46" customWidth="1"/>
    <col min="8" max="8" width="4.625" style="46" customWidth="1"/>
    <col min="9" max="9" width="10.875" style="46" customWidth="1"/>
    <col min="10" max="10" width="11.875" style="46" customWidth="1"/>
    <col min="11" max="13" width="12.625" style="46" customWidth="1"/>
    <col min="14" max="14" width="6.875" style="46" customWidth="1"/>
    <col min="15" max="15" width="12.625" style="46" customWidth="1"/>
    <col min="16" max="18" width="7.75" style="46" customWidth="1"/>
    <col min="19" max="19" width="9.875" style="46" customWidth="1"/>
    <col min="20" max="20" width="10" style="46" customWidth="1"/>
    <col min="21" max="21" width="14.375" style="46" hidden="1" customWidth="1"/>
    <col min="22" max="22" width="9.625" style="46" hidden="1" customWidth="1"/>
    <col min="23" max="23" width="7.625" style="46" hidden="1" customWidth="1"/>
    <col min="24" max="24" width="10.125" style="46" hidden="1" customWidth="1"/>
    <col min="25" max="25" width="8.25" style="46" hidden="1" customWidth="1"/>
    <col min="26" max="26" width="13.375" style="46" hidden="1" customWidth="1"/>
    <col min="27" max="16384" width="9" style="46"/>
  </cols>
  <sheetData>
    <row r="1" spans="1:26" ht="12.75" customHeight="1" thickBot="1" x14ac:dyDescent="0.25">
      <c r="A1" s="185"/>
      <c r="B1" s="185"/>
      <c r="C1" s="185"/>
      <c r="D1" s="185"/>
      <c r="E1" s="185"/>
      <c r="F1" s="185"/>
      <c r="G1" s="185"/>
      <c r="H1" s="185"/>
      <c r="I1" s="185"/>
      <c r="J1" s="185"/>
      <c r="K1" s="185"/>
      <c r="L1" s="185"/>
      <c r="M1" s="185"/>
      <c r="N1" s="47"/>
    </row>
    <row r="2" spans="1:26" ht="18.75" thickBot="1" x14ac:dyDescent="0.25">
      <c r="B2" s="725" t="s">
        <v>1</v>
      </c>
      <c r="C2" s="726"/>
      <c r="D2" s="726"/>
      <c r="E2" s="726"/>
      <c r="F2" s="726"/>
      <c r="G2" s="727"/>
      <c r="H2" s="1"/>
      <c r="I2" s="728" t="s">
        <v>68</v>
      </c>
      <c r="J2" s="729"/>
      <c r="K2" s="729"/>
      <c r="L2" s="729"/>
      <c r="M2" s="730"/>
      <c r="N2" s="48"/>
      <c r="O2" s="731" t="s">
        <v>178</v>
      </c>
      <c r="P2" s="732"/>
      <c r="Q2" s="732"/>
      <c r="R2" s="733"/>
      <c r="V2" s="46" t="s">
        <v>70</v>
      </c>
      <c r="X2" s="46" t="s">
        <v>179</v>
      </c>
      <c r="Y2" s="46" t="s">
        <v>76</v>
      </c>
      <c r="Z2" s="46" t="s">
        <v>180</v>
      </c>
    </row>
    <row r="3" spans="1:26" ht="15.75" thickBot="1" x14ac:dyDescent="0.25">
      <c r="B3" s="737" t="s">
        <v>7</v>
      </c>
      <c r="C3" s="738"/>
      <c r="D3" s="739"/>
      <c r="E3" s="49" t="s">
        <v>71</v>
      </c>
      <c r="F3" s="740" t="s">
        <v>60</v>
      </c>
      <c r="G3" s="741"/>
      <c r="H3" s="1"/>
      <c r="I3" s="742" t="s">
        <v>72</v>
      </c>
      <c r="J3" s="493"/>
      <c r="K3" s="50" t="s">
        <v>22</v>
      </c>
      <c r="L3" s="743" t="s">
        <v>23</v>
      </c>
      <c r="M3" s="744"/>
      <c r="N3" s="48"/>
      <c r="O3" s="734"/>
      <c r="P3" s="735"/>
      <c r="Q3" s="735"/>
      <c r="R3" s="736"/>
      <c r="V3" s="128" t="b">
        <v>0</v>
      </c>
      <c r="X3" s="128" t="b">
        <v>0</v>
      </c>
      <c r="Y3" s="46">
        <f>IF(K4="وجهين",(L5+M5),L5)</f>
        <v>0</v>
      </c>
      <c r="Z3" s="46">
        <f>IF(AND(X3=TRUE,K20&gt;1),IF(K4="وجهين",((L5+M5)*(K20/J8)),(L5*(K20/J8))*2),IF(K4="وجهين",(L5+M5),L5))</f>
        <v>0</v>
      </c>
    </row>
    <row r="4" spans="1:26" ht="24" customHeight="1" thickBot="1" x14ac:dyDescent="0.25">
      <c r="B4" s="773" t="str">
        <f>مطبوعات!E5</f>
        <v xml:space="preserve"> MWHEBA</v>
      </c>
      <c r="C4" s="774"/>
      <c r="D4" s="775"/>
      <c r="E4" s="51">
        <f>K20*مطبوعات!I5</f>
        <v>0</v>
      </c>
      <c r="F4" s="894"/>
      <c r="G4" s="895"/>
      <c r="H4" s="1"/>
      <c r="I4" s="776">
        <f>IF(I6&gt;0,CONCATENATE(I6," x ",J6),0)</f>
        <v>0</v>
      </c>
      <c r="J4" s="777"/>
      <c r="K4" s="778" t="s">
        <v>247</v>
      </c>
      <c r="L4" s="52" t="s">
        <v>32</v>
      </c>
      <c r="M4" s="53" t="s">
        <v>33</v>
      </c>
      <c r="N4" s="54"/>
      <c r="V4" s="854" t="s">
        <v>74</v>
      </c>
      <c r="W4" s="854"/>
      <c r="X4" s="854"/>
    </row>
    <row r="5" spans="1:26" ht="16.5" thickBot="1" x14ac:dyDescent="0.25">
      <c r="B5" s="1" t="s">
        <v>164</v>
      </c>
      <c r="C5" s="1"/>
      <c r="D5" s="1"/>
      <c r="E5" s="1"/>
      <c r="F5" s="1"/>
      <c r="G5" s="1"/>
      <c r="H5" s="1"/>
      <c r="I5" s="766"/>
      <c r="J5" s="767"/>
      <c r="K5" s="778"/>
      <c r="L5" s="768"/>
      <c r="M5" s="770"/>
    </row>
    <row r="6" spans="1:26" ht="18.75" thickBot="1" x14ac:dyDescent="0.25">
      <c r="B6" s="780" t="s">
        <v>70</v>
      </c>
      <c r="C6" s="781"/>
      <c r="D6" s="896" t="s">
        <v>75</v>
      </c>
      <c r="E6" s="896"/>
      <c r="F6" s="897" t="s">
        <v>181</v>
      </c>
      <c r="G6" s="898"/>
      <c r="H6" s="1"/>
      <c r="I6" s="156">
        <v>0</v>
      </c>
      <c r="J6" s="157">
        <v>0</v>
      </c>
      <c r="K6" s="779"/>
      <c r="L6" s="769"/>
      <c r="M6" s="771"/>
      <c r="V6" s="46" t="s">
        <v>72</v>
      </c>
      <c r="W6" s="46">
        <f>DGET(V13:X17,W13,C7:C8)</f>
        <v>49</v>
      </c>
      <c r="X6" s="46">
        <f>DGET(V13:X17,X13,C7:C8)</f>
        <v>34</v>
      </c>
      <c r="Y6" s="46" t="s">
        <v>124</v>
      </c>
    </row>
    <row r="7" spans="1:26" ht="15.75" x14ac:dyDescent="0.2">
      <c r="B7" s="158" t="s">
        <v>76</v>
      </c>
      <c r="C7" s="159" t="s">
        <v>77</v>
      </c>
      <c r="D7" s="160" t="s">
        <v>78</v>
      </c>
      <c r="E7" s="160" t="s">
        <v>79</v>
      </c>
      <c r="F7" s="161" t="s">
        <v>80</v>
      </c>
      <c r="G7" s="161" t="s">
        <v>81</v>
      </c>
      <c r="H7" s="1"/>
      <c r="I7" s="742" t="s">
        <v>82</v>
      </c>
      <c r="J7" s="491"/>
      <c r="K7" s="493"/>
      <c r="L7" s="527" t="s">
        <v>81</v>
      </c>
      <c r="M7" s="514"/>
      <c r="O7" s="745" t="s">
        <v>138</v>
      </c>
      <c r="P7" s="746"/>
      <c r="Q7" s="746"/>
      <c r="R7" s="747"/>
      <c r="U7" s="46" t="s">
        <v>84</v>
      </c>
      <c r="V7" s="46">
        <f>I6</f>
        <v>0</v>
      </c>
      <c r="W7" s="46" t="e">
        <f>ROUNDDOWN(W6/V7,0)</f>
        <v>#DIV/0!</v>
      </c>
      <c r="X7" s="46" t="e">
        <f>ROUNDDOWN(X6/V7,0)</f>
        <v>#DIV/0!</v>
      </c>
      <c r="Y7" s="46">
        <f>IF(D13=0,0,IF(D13&gt;250,(ROUNDUP(IF(C8="ثمن",(D13/8),IF(C8="ربع",(D13/4),IF(C8="نص",(D13/2),D13))),0)+IF(D13&gt;1000,ROUNDUP(D13/100,0),10)),IF(C8="ثمن",25,IF(C8="ربع",50,75))))</f>
        <v>0</v>
      </c>
    </row>
    <row r="8" spans="1:26" ht="18.75" thickBot="1" x14ac:dyDescent="0.25">
      <c r="B8" s="162"/>
      <c r="C8" s="61" t="s">
        <v>85</v>
      </c>
      <c r="D8" s="62" t="s">
        <v>277</v>
      </c>
      <c r="E8" s="63"/>
      <c r="F8" s="64">
        <f>IF(B8&gt;0,DGET('أفلام وزنكات'!$F$4:$H$19,'أفلام وزنكات'!$H$4,C7:D8),0)</f>
        <v>0</v>
      </c>
      <c r="G8" s="129">
        <f>IF(V3=TRUE,0,(B8*F8)+E8)</f>
        <v>0</v>
      </c>
      <c r="H8" s="66"/>
      <c r="I8" s="67" t="s">
        <v>87</v>
      </c>
      <c r="J8" s="184" t="str">
        <f>IF(AND(I6&gt;0,J6&gt;0),X11,"تأكد من المقاس")</f>
        <v>تأكد من المقاس</v>
      </c>
      <c r="K8" s="68" t="str">
        <f>CONCATENATE("في ال",C8)</f>
        <v>في الربع</v>
      </c>
      <c r="L8" s="892"/>
      <c r="M8" s="893"/>
      <c r="O8" s="750" t="str">
        <f>IFERROR(IF(ISNUMBER(O12),O12/E4,0),"أدخل العدد الداخلي")</f>
        <v>أدخل العدد الداخلي</v>
      </c>
      <c r="P8" s="751"/>
      <c r="Q8" s="751"/>
      <c r="R8" s="752"/>
      <c r="S8"/>
      <c r="T8"/>
      <c r="U8" s="46" t="str">
        <f>DGET(المطابع!$W$4:$Z$21,المطابع!$Z$4,'تسعير أوفست داخلي'!I12:J13)</f>
        <v>120</v>
      </c>
      <c r="V8" s="46">
        <f>J6</f>
        <v>0</v>
      </c>
      <c r="W8" s="46" t="e">
        <f>ROUNDDOWN(W6/V8,0)</f>
        <v>#DIV/0!</v>
      </c>
      <c r="X8" s="46" t="e">
        <f>ROUNDDOWN(X6/V8,0)</f>
        <v>#DIV/0!</v>
      </c>
    </row>
    <row r="9" spans="1:26" ht="15" thickBot="1" x14ac:dyDescent="0.25">
      <c r="B9" s="163"/>
      <c r="C9" s="1"/>
      <c r="D9" s="1"/>
      <c r="E9" s="1"/>
      <c r="F9" s="1"/>
      <c r="G9" s="1"/>
      <c r="H9" s="1"/>
      <c r="I9" s="1"/>
      <c r="J9" s="1"/>
      <c r="K9" s="1"/>
      <c r="L9" s="1"/>
      <c r="M9" s="1"/>
      <c r="S9"/>
      <c r="T9"/>
      <c r="U9" s="46">
        <f>H13*ROUNDUP(E13/1000,0)</f>
        <v>0</v>
      </c>
    </row>
    <row r="10" spans="1:26" ht="18.75" thickBot="1" x14ac:dyDescent="0.25">
      <c r="B10" s="791" t="s">
        <v>89</v>
      </c>
      <c r="C10" s="792"/>
      <c r="D10" s="792"/>
      <c r="E10" s="792"/>
      <c r="F10" s="792"/>
      <c r="G10" s="792"/>
      <c r="H10" s="792"/>
      <c r="I10" s="792"/>
      <c r="J10" s="792"/>
      <c r="K10" s="792"/>
      <c r="L10" s="792"/>
      <c r="M10" s="793"/>
      <c r="N10" s="48"/>
      <c r="S10"/>
      <c r="T10"/>
      <c r="U10" s="48">
        <f>H13*ROUNDUP(E13/1000,0)*U8</f>
        <v>0</v>
      </c>
      <c r="X10" s="46" t="s">
        <v>90</v>
      </c>
    </row>
    <row r="11" spans="1:26" ht="18" x14ac:dyDescent="0.2">
      <c r="B11" s="743" t="s">
        <v>91</v>
      </c>
      <c r="C11" s="744"/>
      <c r="D11" s="782" t="str">
        <f>CONCATENATE("عدد ال",C8)</f>
        <v>عدد الربع</v>
      </c>
      <c r="E11" s="529" t="s">
        <v>93</v>
      </c>
      <c r="F11" s="514" t="s">
        <v>94</v>
      </c>
      <c r="G11" s="764" t="s">
        <v>95</v>
      </c>
      <c r="H11" s="765"/>
      <c r="I11" s="743" t="s">
        <v>96</v>
      </c>
      <c r="J11" s="534"/>
      <c r="K11" s="744"/>
      <c r="L11" s="527" t="s">
        <v>81</v>
      </c>
      <c r="M11" s="514"/>
      <c r="N11" s="47"/>
      <c r="O11" s="753" t="s">
        <v>30</v>
      </c>
      <c r="P11" s="754"/>
      <c r="Q11" s="754"/>
      <c r="R11" s="755"/>
      <c r="S11"/>
      <c r="T11"/>
      <c r="U11" s="47"/>
      <c r="X11" s="46" t="e">
        <f>MAX(X8*W7,W8*X7)</f>
        <v>#DIV/0!</v>
      </c>
    </row>
    <row r="12" spans="1:26" ht="15" customHeight="1" x14ac:dyDescent="0.2">
      <c r="B12" s="69" t="s">
        <v>32</v>
      </c>
      <c r="C12" s="70" t="s">
        <v>33</v>
      </c>
      <c r="D12" s="783"/>
      <c r="E12" s="530"/>
      <c r="F12" s="515"/>
      <c r="G12" s="182" t="s">
        <v>97</v>
      </c>
      <c r="H12" s="183" t="s">
        <v>87</v>
      </c>
      <c r="I12" s="71" t="s">
        <v>98</v>
      </c>
      <c r="J12" s="72" t="s">
        <v>99</v>
      </c>
      <c r="K12" s="70" t="s">
        <v>100</v>
      </c>
      <c r="L12" s="528"/>
      <c r="M12" s="515"/>
      <c r="O12" s="756">
        <f>IFERROR(G8+L8+L13+L17+H17+C21+D21+E21+G21+J21+(M25*L25)+(M26*L26)+(G25*E25)+(G26*E26),"تأكد من البيانات")</f>
        <v>0</v>
      </c>
      <c r="P12" s="757"/>
      <c r="Q12" s="757"/>
      <c r="R12" s="758"/>
      <c r="T12"/>
    </row>
    <row r="13" spans="1:26" ht="18.75" thickBot="1" x14ac:dyDescent="0.25">
      <c r="B13" s="60">
        <f>L5</f>
        <v>0</v>
      </c>
      <c r="C13" s="73">
        <f>M5</f>
        <v>0</v>
      </c>
      <c r="D13" s="74">
        <f>IF(J8="تأكد من المقاس",0,ROUNDUP(E4/J8,0))</f>
        <v>0</v>
      </c>
      <c r="E13" s="75">
        <f>IF(B13=0,0,IF(K4="وجه واحد",D13,D13*2))</f>
        <v>0</v>
      </c>
      <c r="F13" s="76">
        <f>IF(AND(X3=TRUE,K4="وجهين"),B8*ROUNDUP(ROUND(مطبوعات!I5/1000,1),0),IF(K4="وجه واحد",ROUNDUP(D13/1000,0)*B13,IF(K4="طبع وقلب",ROUNDUP(E13/1000,0)*B13,(ROUNDUP(D13/1000,0)*C13)+(ROUNDUP(D13/1000,0)*B13))))</f>
        <v>0</v>
      </c>
      <c r="G13" s="180"/>
      <c r="H13" s="181"/>
      <c r="I13" s="77" t="s">
        <v>276</v>
      </c>
      <c r="J13" s="78" t="str">
        <f>C8</f>
        <v>ربع</v>
      </c>
      <c r="K13" s="64">
        <f>IF(B13=0,0,DGET(المطابع!$W$4:$Z$21,المطابع!$Y$4,I12:J13))</f>
        <v>0</v>
      </c>
      <c r="L13" s="887">
        <f>IF(B13=0,0,IF(AND(H13&gt;0,H13&lt;=B13),((F13-H13*ROUNDUP(E13/1000,0))*K13)+(H13*ROUNDUP(E13/1000,0)*U8),IF(OR(H13&lt;0,H13&gt;B13),"خطأ ألوان مخصوصة",F13*K13)))</f>
        <v>0</v>
      </c>
      <c r="M13" s="888"/>
      <c r="O13" s="759"/>
      <c r="P13" s="760"/>
      <c r="Q13" s="760"/>
      <c r="R13" s="761"/>
      <c r="U13" s="46">
        <f>IF(H13&gt;B13,"خطأ ألوان مخصوصة",0)</f>
        <v>0</v>
      </c>
      <c r="V13" s="46" t="s">
        <v>77</v>
      </c>
      <c r="W13" s="46" t="s">
        <v>38</v>
      </c>
      <c r="X13" s="46" t="s">
        <v>39</v>
      </c>
    </row>
    <row r="14" spans="1:26" ht="15" thickBot="1" x14ac:dyDescent="0.25">
      <c r="B14" s="1"/>
      <c r="C14" s="1"/>
      <c r="D14" s="1"/>
      <c r="E14" s="1"/>
      <c r="F14" s="1"/>
      <c r="G14" s="1"/>
      <c r="H14" s="1"/>
      <c r="I14" s="1"/>
      <c r="J14" s="79">
        <v>46204.655277777776</v>
      </c>
      <c r="K14" s="1"/>
      <c r="L14" s="1"/>
      <c r="M14" s="1"/>
      <c r="O14"/>
      <c r="V14" s="46" t="s">
        <v>101</v>
      </c>
      <c r="W14" s="46">
        <v>34</v>
      </c>
      <c r="X14" s="46">
        <v>24</v>
      </c>
    </row>
    <row r="15" spans="1:26" ht="18.75" thickBot="1" x14ac:dyDescent="0.25">
      <c r="B15" s="788" t="s">
        <v>102</v>
      </c>
      <c r="C15" s="789"/>
      <c r="D15" s="789"/>
      <c r="E15" s="789"/>
      <c r="F15" s="789"/>
      <c r="G15" s="789"/>
      <c r="H15" s="789"/>
      <c r="I15" s="789"/>
      <c r="J15" s="789"/>
      <c r="K15" s="789"/>
      <c r="L15" s="789"/>
      <c r="M15" s="790"/>
      <c r="O15"/>
      <c r="P15"/>
      <c r="V15" s="46" t="s">
        <v>85</v>
      </c>
      <c r="W15" s="46">
        <v>49</v>
      </c>
      <c r="X15" s="46">
        <v>34</v>
      </c>
    </row>
    <row r="16" spans="1:26" ht="15.75" customHeight="1" thickBot="1" x14ac:dyDescent="0.25">
      <c r="B16" s="80" t="s">
        <v>103</v>
      </c>
      <c r="C16" s="29" t="s">
        <v>72</v>
      </c>
      <c r="D16" s="27" t="s">
        <v>104</v>
      </c>
      <c r="E16" s="27" t="s">
        <v>105</v>
      </c>
      <c r="F16" s="28" t="s">
        <v>106</v>
      </c>
      <c r="G16" s="50" t="s">
        <v>71</v>
      </c>
      <c r="H16" s="742" t="s">
        <v>107</v>
      </c>
      <c r="I16" s="493"/>
      <c r="J16" s="80" t="s">
        <v>108</v>
      </c>
      <c r="K16" s="81" t="s">
        <v>109</v>
      </c>
      <c r="L16" s="742" t="s">
        <v>81</v>
      </c>
      <c r="M16" s="493"/>
      <c r="O16" s="889" t="s">
        <v>266</v>
      </c>
      <c r="P16" s="890"/>
      <c r="Q16" s="890"/>
      <c r="R16" s="891"/>
      <c r="V16" s="46" t="s">
        <v>110</v>
      </c>
      <c r="W16" s="46">
        <v>69</v>
      </c>
      <c r="X16" s="46">
        <v>49</v>
      </c>
    </row>
    <row r="17" spans="2:24" ht="18.75" thickBot="1" x14ac:dyDescent="0.25">
      <c r="B17" s="83" t="s">
        <v>133</v>
      </c>
      <c r="C17" s="84" t="s">
        <v>112</v>
      </c>
      <c r="D17" s="62">
        <v>80</v>
      </c>
      <c r="E17" s="62" t="s">
        <v>182</v>
      </c>
      <c r="F17" s="85" t="s">
        <v>231</v>
      </c>
      <c r="G17" s="86">
        <f>IF(E19="إضافة",Y7+F19,Y7-F19)</f>
        <v>0</v>
      </c>
      <c r="H17" s="784"/>
      <c r="I17" s="785"/>
      <c r="J17" s="87">
        <f>IFERROR(INDEX('أسعار الورق'!$H$3:$H$74,SUMPRODUCT(('أسعار الورق'!$B$3:$B$74=B17)*('أسعار الورق'!$D$3:$D$74=D17)*('أسعار الورق'!$F$3:$F$74=F17)*('أسعار الورق'!$E$3:$E$74=E17)*('أسعار الورق'!$C$3:$C$74=C17)*ROW('أسعار الورق'!$H$3:$H$74))-2,0),"تأكد من الورق")</f>
        <v>3.4</v>
      </c>
      <c r="K17" s="88">
        <f>IFERROR(INDEX('أسعار الورق'!$G$3:$G$74,SUMPRODUCT(('أسعار الورق'!$B$3:$B$74=B17)*('أسعار الورق'!$D$3:$D$74=D17)*('أسعار الورق'!$F$3:$F$74=F17)*('أسعار الورق'!$E$3:$E$74=E17)*('أسعار الورق'!$C$3:$C$74=C17)*ROW('أسعار الورق'!$G$3:$G$74))-2,0),"تأكد من الورق")</f>
        <v>45587</v>
      </c>
      <c r="L17" s="831">
        <f>IFERROR(IF(J17="-",0,ROUNDUP(J17*G17,0)),0)</f>
        <v>0</v>
      </c>
      <c r="M17" s="832"/>
      <c r="N17" s="164" t="str">
        <f ca="1">CELL("address",INDEX('أسعار الورق'!$H$3:$H$74,SUMPRODUCT(('أسعار الورق'!$B$3:$B$74=B17)*('أسعار الورق'!$D$3:$D$74=D17)*('أسعار الورق'!$F$3:$F$74=F17)*('أسعار الورق'!$E$3:$E$74=E17)*('أسعار الورق'!$C$3:$C$74=C17)*ROW('أسعار الورق'!$H$3:$H$74))-2,0))</f>
        <v>'[Pricing 2024.xlsm]أسعار الورق'!$H$30</v>
      </c>
      <c r="O17" s="267" t="s">
        <v>59</v>
      </c>
      <c r="P17" s="353" t="s">
        <v>269</v>
      </c>
      <c r="Q17" s="353" t="s">
        <v>267</v>
      </c>
      <c r="R17" s="354" t="s">
        <v>268</v>
      </c>
      <c r="V17" s="46" t="s">
        <v>115</v>
      </c>
      <c r="W17" s="46">
        <v>99</v>
      </c>
      <c r="X17" s="46">
        <v>69</v>
      </c>
    </row>
    <row r="18" spans="2:24" ht="15.75" customHeight="1" thickBot="1" x14ac:dyDescent="0.25">
      <c r="B18" s="1"/>
      <c r="C18" s="1"/>
      <c r="D18" s="1"/>
      <c r="E18" s="1"/>
      <c r="F18" s="1"/>
      <c r="G18" s="1"/>
      <c r="H18" s="1"/>
      <c r="I18" s="1"/>
      <c r="J18" s="1"/>
      <c r="K18" s="1"/>
      <c r="L18" s="1"/>
      <c r="M18" s="1"/>
      <c r="O18" s="356" t="s">
        <v>297</v>
      </c>
      <c r="P18" s="357" t="s">
        <v>271</v>
      </c>
      <c r="Q18" s="358">
        <v>16</v>
      </c>
      <c r="R18" s="355" t="str">
        <f>IF(O18=0,0,DGET(Ta2feel16[#All],Ta2feel16[[#Headers],[سعر الحلقة]],O17:P18))</f>
        <v>0.45</v>
      </c>
    </row>
    <row r="19" spans="2:24" ht="18.75" thickBot="1" x14ac:dyDescent="0.3">
      <c r="B19" s="89" t="s">
        <v>25</v>
      </c>
      <c r="C19" s="90"/>
      <c r="D19" s="91" t="s">
        <v>117</v>
      </c>
      <c r="E19" s="165" t="s">
        <v>118</v>
      </c>
      <c r="F19" s="166"/>
      <c r="G19" s="92" t="s">
        <v>115</v>
      </c>
      <c r="H19" s="877" t="s">
        <v>183</v>
      </c>
      <c r="I19" s="807"/>
      <c r="J19" s="167" t="s">
        <v>86</v>
      </c>
      <c r="K19" s="877" t="s">
        <v>184</v>
      </c>
      <c r="L19" s="807"/>
      <c r="M19" s="808"/>
    </row>
    <row r="20" spans="2:24" ht="15" customHeight="1" x14ac:dyDescent="0.2">
      <c r="B20" s="80" t="s">
        <v>120</v>
      </c>
      <c r="C20" s="96" t="s">
        <v>81</v>
      </c>
      <c r="D20" s="30" t="s">
        <v>26</v>
      </c>
      <c r="E20" s="27" t="s">
        <v>121</v>
      </c>
      <c r="F20" s="97" t="s">
        <v>122</v>
      </c>
      <c r="G20" s="98"/>
      <c r="H20" s="878" t="s">
        <v>185</v>
      </c>
      <c r="I20" s="492"/>
      <c r="J20" s="168" t="s">
        <v>81</v>
      </c>
      <c r="K20" s="879">
        <f>IF(مطبوعات!B17="أوفست",مطبوعات!P17,0)</f>
        <v>0</v>
      </c>
      <c r="L20" s="880"/>
      <c r="M20" s="881"/>
    </row>
    <row r="21" spans="2:24" ht="15.75" thickBot="1" x14ac:dyDescent="0.25">
      <c r="B21" s="103"/>
      <c r="C21" s="169">
        <f>IF(B21&lt;&gt;"",G17*DGET('خدمات الطباعة'!$S$3:$T$19,'خدمات الطباعة'!$T$3,B20:B21),0)</f>
        <v>0</v>
      </c>
      <c r="D21" s="170"/>
      <c r="E21" s="171"/>
      <c r="F21" s="107"/>
      <c r="G21" s="172">
        <f>IF(F21&lt;&gt;"",IF(G17&gt;125,IF(F21="وجه واحد",'خدمات الطباعة'!T12*G17,IF(F21="وجهين",'خدمات الطباعة'!T12*G17*2,0)),150),0)</f>
        <v>0</v>
      </c>
      <c r="H21" s="885"/>
      <c r="I21" s="886"/>
      <c r="J21" s="359">
        <f>IF(H21&lt;&gt;"",IF(H21="سلك",IF(Q18&lt;&gt;"",R18*Q18*مطبوعات!I5,"ادخل عدد الحلقات"),مطبوعات!I5*DGET('خدمات الطباعة'!$V$3:$W$19,'خدمات الطباعة'!$W$3,H20:I21)),0)</f>
        <v>0</v>
      </c>
      <c r="K21" s="882"/>
      <c r="L21" s="883"/>
      <c r="M21" s="884"/>
    </row>
    <row r="22" spans="2:24" ht="15" thickBot="1" x14ac:dyDescent="0.25">
      <c r="B22" s="1"/>
      <c r="C22" s="1"/>
      <c r="D22" s="1"/>
      <c r="E22" s="1"/>
      <c r="F22" s="1"/>
      <c r="G22" s="1"/>
      <c r="H22" s="1"/>
      <c r="I22" s="1"/>
      <c r="J22" s="1"/>
      <c r="K22" s="1"/>
      <c r="L22" s="1"/>
      <c r="M22" s="1"/>
    </row>
    <row r="23" spans="2:24" ht="18.75" thickBot="1" x14ac:dyDescent="0.25">
      <c r="B23" s="806" t="s">
        <v>125</v>
      </c>
      <c r="C23" s="807"/>
      <c r="D23" s="807"/>
      <c r="E23" s="807"/>
      <c r="F23" s="807"/>
      <c r="G23" s="808"/>
      <c r="H23" s="1"/>
      <c r="I23" s="806" t="s">
        <v>126</v>
      </c>
      <c r="J23" s="807"/>
      <c r="K23" s="807"/>
      <c r="L23" s="807"/>
      <c r="M23" s="808"/>
    </row>
    <row r="24" spans="2:24" ht="15" x14ac:dyDescent="0.2">
      <c r="B24" s="742" t="s">
        <v>60</v>
      </c>
      <c r="C24" s="491"/>
      <c r="D24" s="492"/>
      <c r="E24" s="27" t="s">
        <v>71</v>
      </c>
      <c r="F24" s="28" t="s">
        <v>35</v>
      </c>
      <c r="G24" s="28" t="s">
        <v>127</v>
      </c>
      <c r="H24" s="1"/>
      <c r="I24" s="742" t="s">
        <v>60</v>
      </c>
      <c r="J24" s="491"/>
      <c r="K24" s="492"/>
      <c r="L24" s="27" t="s">
        <v>71</v>
      </c>
      <c r="M24" s="28" t="s">
        <v>127</v>
      </c>
    </row>
    <row r="25" spans="2:24" ht="15" x14ac:dyDescent="0.2">
      <c r="B25" s="794"/>
      <c r="C25" s="795"/>
      <c r="D25" s="796"/>
      <c r="E25" s="112"/>
      <c r="F25" s="113"/>
      <c r="G25" s="148"/>
      <c r="H25" s="111"/>
      <c r="I25" s="794"/>
      <c r="J25" s="795"/>
      <c r="K25" s="796"/>
      <c r="L25" s="112"/>
      <c r="M25" s="148"/>
      <c r="N25" s="47"/>
    </row>
    <row r="26" spans="2:24" ht="15.75" thickBot="1" x14ac:dyDescent="0.25">
      <c r="B26" s="797"/>
      <c r="C26" s="798"/>
      <c r="D26" s="799"/>
      <c r="E26" s="115"/>
      <c r="F26" s="116"/>
      <c r="G26" s="149"/>
      <c r="H26" s="111"/>
      <c r="I26" s="800"/>
      <c r="J26" s="801"/>
      <c r="K26" s="802"/>
      <c r="L26" s="115"/>
      <c r="M26" s="149"/>
      <c r="N26" s="47"/>
    </row>
  </sheetData>
  <sheetProtection algorithmName="SHA-512" hashValue="4Pe3M7D5xizcbYZTMcqCqA97pWegFnopMuqte2a8TGxIpqMFSVqIjAMg1zhaDMhmGnCmidIbKbXOGBmbWijP0Q==" saltValue="GEm70rNjuX+2Ovkd7Jg9Vg==" spinCount="100000" sheet="1" objects="1" scenarios="1"/>
  <mergeCells count="53">
    <mergeCell ref="B2:G2"/>
    <mergeCell ref="I2:M2"/>
    <mergeCell ref="O2:R3"/>
    <mergeCell ref="B3:D3"/>
    <mergeCell ref="F3:G3"/>
    <mergeCell ref="I3:J3"/>
    <mergeCell ref="L3:M3"/>
    <mergeCell ref="B4:D4"/>
    <mergeCell ref="F4:G4"/>
    <mergeCell ref="I4:J4"/>
    <mergeCell ref="K4:K6"/>
    <mergeCell ref="V4:X4"/>
    <mergeCell ref="I5:J5"/>
    <mergeCell ref="L5:L6"/>
    <mergeCell ref="M5:M6"/>
    <mergeCell ref="B6:C6"/>
    <mergeCell ref="D6:E6"/>
    <mergeCell ref="F6:G6"/>
    <mergeCell ref="I7:K7"/>
    <mergeCell ref="L7:M7"/>
    <mergeCell ref="O7:R7"/>
    <mergeCell ref="L8:M8"/>
    <mergeCell ref="O8:R8"/>
    <mergeCell ref="B10:M10"/>
    <mergeCell ref="B11:C11"/>
    <mergeCell ref="D11:D12"/>
    <mergeCell ref="E11:E12"/>
    <mergeCell ref="F11:F12"/>
    <mergeCell ref="G11:H11"/>
    <mergeCell ref="I11:K11"/>
    <mergeCell ref="L11:M12"/>
    <mergeCell ref="O11:R11"/>
    <mergeCell ref="O12:R13"/>
    <mergeCell ref="L13:M13"/>
    <mergeCell ref="B15:M15"/>
    <mergeCell ref="H16:I16"/>
    <mergeCell ref="L16:M16"/>
    <mergeCell ref="O16:R16"/>
    <mergeCell ref="H17:I17"/>
    <mergeCell ref="L17:M17"/>
    <mergeCell ref="H19:I19"/>
    <mergeCell ref="K19:M19"/>
    <mergeCell ref="H20:I20"/>
    <mergeCell ref="K20:M21"/>
    <mergeCell ref="H21:I21"/>
    <mergeCell ref="B26:D26"/>
    <mergeCell ref="I26:K26"/>
    <mergeCell ref="B23:G23"/>
    <mergeCell ref="I23:M23"/>
    <mergeCell ref="B24:D24"/>
    <mergeCell ref="I24:K24"/>
    <mergeCell ref="B25:D25"/>
    <mergeCell ref="I25:K25"/>
  </mergeCells>
  <conditionalFormatting sqref="M4:M6">
    <cfRule type="expression" dxfId="43" priority="13">
      <formula>AND($K$4="وجه واحد",$M$5=0)</formula>
    </cfRule>
  </conditionalFormatting>
  <conditionalFormatting sqref="J8">
    <cfRule type="expression" dxfId="42" priority="12">
      <formula>$J$8="تأكد من المقاس"</formula>
    </cfRule>
  </conditionalFormatting>
  <conditionalFormatting sqref="K17">
    <cfRule type="colorScale" priority="11">
      <colorScale>
        <cfvo type="formula" val="TODAY()-15"/>
        <cfvo type="formula" val="TODAY()-7"/>
        <cfvo type="formula" val="TODAY()"/>
        <color rgb="FFF8696B"/>
        <color rgb="FFFFEB84"/>
        <color rgb="FF63BE7B"/>
      </colorScale>
    </cfRule>
  </conditionalFormatting>
  <conditionalFormatting sqref="J17">
    <cfRule type="expression" dxfId="41" priority="10">
      <formula>$J$17="تأكد من الورق"</formula>
    </cfRule>
  </conditionalFormatting>
  <conditionalFormatting sqref="E21">
    <cfRule type="expression" dxfId="40" priority="14">
      <formula>#REF!=TRUE</formula>
    </cfRule>
  </conditionalFormatting>
  <conditionalFormatting sqref="B6:C6">
    <cfRule type="expression" dxfId="39" priority="9">
      <formula>$V$3=TRUE</formula>
    </cfRule>
  </conditionalFormatting>
  <conditionalFormatting sqref="F6:G6">
    <cfRule type="expression" dxfId="38" priority="8">
      <formula>$X$3=TRUE</formula>
    </cfRule>
  </conditionalFormatting>
  <conditionalFormatting sqref="B8">
    <cfRule type="expression" dxfId="37" priority="7">
      <formula>AND($B$8&lt;&gt;$Z$3,$X$3=TRUE,$B$8=$Y$3)</formula>
    </cfRule>
  </conditionalFormatting>
  <conditionalFormatting sqref="G12:H13">
    <cfRule type="expression" dxfId="36" priority="6">
      <formula>ISNUMBER($H12)=TRUE</formula>
    </cfRule>
  </conditionalFormatting>
  <conditionalFormatting sqref="K4:K6">
    <cfRule type="expression" dxfId="35" priority="5">
      <formula>AND(ISODD($J$8)=TRUE,$K$4="طبع وقلب")</formula>
    </cfRule>
  </conditionalFormatting>
  <conditionalFormatting sqref="O16:R18">
    <cfRule type="expression" dxfId="34" priority="3" stopIfTrue="1">
      <formula>$H$21&lt;&gt;"سلك"</formula>
    </cfRule>
  </conditionalFormatting>
  <conditionalFormatting sqref="Q18">
    <cfRule type="containsBlanks" dxfId="33" priority="15">
      <formula>LEN(TRIM(Q18))=0</formula>
    </cfRule>
  </conditionalFormatting>
  <conditionalFormatting sqref="J21">
    <cfRule type="containsText" dxfId="32" priority="2" operator="containsText" text="ادخل">
      <formula>NOT(ISERROR(SEARCH("ادخل",J21)))</formula>
    </cfRule>
  </conditionalFormatting>
  <conditionalFormatting sqref="O12:R13">
    <cfRule type="containsText" dxfId="31" priority="1" operator="containsText" text="تأكد">
      <formula>NOT(ISERROR(SEARCH("تأكد",O12)))</formula>
    </cfRule>
  </conditionalFormatting>
  <dataValidations count="14">
    <dataValidation type="list" allowBlank="1" showInputMessage="1" showErrorMessage="1" sqref="D8" xr:uid="{00000000-0002-0000-0800-000000000000}">
      <formula1>CTP_mktb</formula1>
    </dataValidation>
    <dataValidation type="list" allowBlank="1" showInputMessage="1" showErrorMessage="1" sqref="C8 J13" xr:uid="{00000000-0002-0000-0800-000001000000}">
      <formula1>Mkn_Sizes</formula1>
    </dataValidation>
    <dataValidation type="list" allowBlank="1" showInputMessage="1" showErrorMessage="1" sqref="I13 J19" xr:uid="{00000000-0002-0000-0800-000002000000}">
      <formula1>Offset_presses</formula1>
    </dataValidation>
    <dataValidation type="list" allowBlank="1" showInputMessage="1" showErrorMessage="1" sqref="E17" xr:uid="{00000000-0002-0000-0800-000003000000}">
      <formula1>Papers_Origin</formula1>
    </dataValidation>
    <dataValidation type="list" allowBlank="1" showInputMessage="1" showErrorMessage="1" sqref="F17" xr:uid="{00000000-0002-0000-0800-000004000000}">
      <formula1>Papers_ma5zan</formula1>
    </dataValidation>
    <dataValidation type="list" allowBlank="1" showInputMessage="1" showErrorMessage="1" sqref="B17" xr:uid="{00000000-0002-0000-0800-000005000000}">
      <formula1>Papers_no3</formula1>
    </dataValidation>
    <dataValidation type="list" allowBlank="1" showInputMessage="1" showErrorMessage="1" sqref="E19" xr:uid="{00000000-0002-0000-0800-000006000000}">
      <formula1>"إضافة,طرح"</formula1>
    </dataValidation>
    <dataValidation operator="greaterThan" allowBlank="1" showInputMessage="1" showErrorMessage="1" sqref="E4" xr:uid="{00000000-0002-0000-0800-000007000000}"/>
    <dataValidation type="list" allowBlank="1" showInputMessage="1" showErrorMessage="1" sqref="C17" xr:uid="{00000000-0002-0000-0800-000008000000}">
      <formula1>"فرخ 70*100,فرخ جاير 88*66"</formula1>
    </dataValidation>
    <dataValidation type="list" allowBlank="1" showInputMessage="1" showErrorMessage="1" sqref="F21" xr:uid="{00000000-0002-0000-0800-000009000000}">
      <formula1>"وجه واحد,وجهين"</formula1>
    </dataValidation>
    <dataValidation type="list" allowBlank="1" showInputMessage="1" showErrorMessage="1" sqref="K4:K6" xr:uid="{00000000-0002-0000-0800-00000A000000}">
      <formula1>"وجه واحد,وجهين,طبع وقلب"</formula1>
    </dataValidation>
    <dataValidation type="list" allowBlank="1" showInputMessage="1" showErrorMessage="1" sqref="B21" xr:uid="{00000000-0002-0000-0800-00000B000000}">
      <formula1>Lamination_Services</formula1>
    </dataValidation>
    <dataValidation type="list" allowBlank="1" showInputMessage="1" showErrorMessage="1" sqref="H21:I21" xr:uid="{00000000-0002-0000-0800-00000C000000}">
      <formula1>Finishing</formula1>
    </dataValidation>
    <dataValidation type="list" allowBlank="1" showInputMessage="1" showErrorMessage="1" sqref="P18" xr:uid="{00000000-0002-0000-0800-00000D000000}">
      <formula1>"صغير,وسط,كبير"</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9" r:id="rId3" name="Check Box 7">
              <controlPr locked="0" defaultSize="0" autoFill="0" autoLine="0" autoPict="0">
                <anchor moveWithCells="1">
                  <from>
                    <xdr:col>2</xdr:col>
                    <xdr:colOff>28575</xdr:colOff>
                    <xdr:row>4</xdr:row>
                    <xdr:rowOff>200025</xdr:rowOff>
                  </from>
                  <to>
                    <xdr:col>2</xdr:col>
                    <xdr:colOff>238125</xdr:colOff>
                    <xdr:row>5</xdr:row>
                    <xdr:rowOff>219075</xdr:rowOff>
                  </to>
                </anchor>
              </controlPr>
            </control>
          </mc:Choice>
        </mc:AlternateContent>
        <mc:AlternateContent xmlns:mc="http://schemas.openxmlformats.org/markup-compatibility/2006">
          <mc:Choice Requires="x14">
            <control shapeId="13320" r:id="rId4" name="Check Box 8">
              <controlPr locked="0" defaultSize="0" autoFill="0" autoLine="0" autoPict="0" macro="[0]!CheckBox8_Click">
                <anchor moveWithCells="1">
                  <from>
                    <xdr:col>6</xdr:col>
                    <xdr:colOff>409575</xdr:colOff>
                    <xdr:row>5</xdr:row>
                    <xdr:rowOff>0</xdr:rowOff>
                  </from>
                  <to>
                    <xdr:col>6</xdr:col>
                    <xdr:colOff>619125</xdr:colOff>
                    <xdr:row>5</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E000000}">
          <x14:formula1>
            <xm:f>'خدمات الطباعة'!$AF$5:$AF$6</xm:f>
          </x14:formula1>
          <xm:sqref>O18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Y24"/>
  <sheetViews>
    <sheetView showZeros="0" rightToLeft="1" zoomScale="120" zoomScaleNormal="120" workbookViewId="0">
      <selection activeCell="D18" sqref="D18:D19"/>
    </sheetView>
  </sheetViews>
  <sheetFormatPr defaultColWidth="9" defaultRowHeight="14.25" x14ac:dyDescent="0.2"/>
  <cols>
    <col min="1" max="1" width="3" style="46" customWidth="1"/>
    <col min="2" max="2" width="10.25" style="46" bestFit="1" customWidth="1"/>
    <col min="3" max="3" width="10.375" style="46" customWidth="1"/>
    <col min="4" max="4" width="11.125" style="46" bestFit="1" customWidth="1"/>
    <col min="5" max="5" width="11.25" style="46" customWidth="1"/>
    <col min="6" max="7" width="12.125" style="46" customWidth="1"/>
    <col min="8" max="8" width="12" style="46" customWidth="1"/>
    <col min="9" max="9" width="9.125" style="46" bestFit="1" customWidth="1"/>
    <col min="10" max="10" width="4.625" style="46" customWidth="1"/>
    <col min="11" max="11" width="10.25" style="46" bestFit="1" customWidth="1"/>
    <col min="12" max="12" width="12.25" style="46" customWidth="1"/>
    <col min="13" max="13" width="11.125" style="46" bestFit="1" customWidth="1"/>
    <col min="14" max="15" width="11.25" style="46" bestFit="1" customWidth="1"/>
    <col min="16" max="16" width="5.375" style="46" customWidth="1"/>
    <col min="17" max="17" width="9.375" style="46" bestFit="1" customWidth="1"/>
    <col min="18" max="18" width="11.125" style="46" bestFit="1" customWidth="1"/>
    <col min="19" max="19" width="9" style="46"/>
    <col min="20" max="20" width="6.625" style="46" customWidth="1"/>
    <col min="21" max="21" width="11.625" style="46" hidden="1" customWidth="1"/>
    <col min="22" max="22" width="10.25" style="46" hidden="1" customWidth="1"/>
    <col min="23" max="23" width="5.125" style="46" hidden="1" customWidth="1"/>
    <col min="24" max="24" width="9" style="46" hidden="1" customWidth="1"/>
    <col min="25" max="25" width="10.125" style="46" hidden="1" customWidth="1"/>
    <col min="26" max="26" width="9" style="46" customWidth="1"/>
    <col min="27" max="16384" width="9" style="46"/>
  </cols>
  <sheetData>
    <row r="1" spans="2:25" x14ac:dyDescent="0.2">
      <c r="D1" s="867" t="s">
        <v>186</v>
      </c>
      <c r="E1" s="868"/>
      <c r="F1" s="868"/>
      <c r="G1" s="868"/>
      <c r="H1" s="868"/>
      <c r="I1" s="868"/>
      <c r="J1" s="868"/>
      <c r="K1" s="868"/>
      <c r="L1" s="868"/>
      <c r="M1" s="869"/>
    </row>
    <row r="2" spans="2:25" ht="15" thickBot="1" x14ac:dyDescent="0.25">
      <c r="D2" s="870"/>
      <c r="E2" s="871"/>
      <c r="F2" s="871"/>
      <c r="G2" s="871"/>
      <c r="H2" s="871"/>
      <c r="I2" s="871"/>
      <c r="J2" s="871"/>
      <c r="K2" s="871"/>
      <c r="L2" s="871"/>
      <c r="M2" s="872"/>
    </row>
    <row r="3" spans="2:25" ht="15" thickBot="1" x14ac:dyDescent="0.25">
      <c r="J3" s="1"/>
      <c r="P3" s="47"/>
    </row>
    <row r="4" spans="2:25" ht="18.75" thickBot="1" x14ac:dyDescent="0.25">
      <c r="B4" s="725" t="s">
        <v>1</v>
      </c>
      <c r="C4" s="726"/>
      <c r="D4" s="726"/>
      <c r="E4" s="726"/>
      <c r="F4" s="726"/>
      <c r="G4" s="726"/>
      <c r="H4" s="726"/>
      <c r="I4" s="727"/>
      <c r="J4" s="1"/>
      <c r="K4" s="915" t="s">
        <v>68</v>
      </c>
      <c r="L4" s="916"/>
      <c r="M4" s="916"/>
      <c r="N4" s="916"/>
      <c r="O4" s="917"/>
      <c r="P4" s="48"/>
      <c r="Q4"/>
      <c r="R4"/>
    </row>
    <row r="5" spans="2:25" ht="15.75" x14ac:dyDescent="0.2">
      <c r="B5" s="737" t="s">
        <v>7</v>
      </c>
      <c r="C5" s="738"/>
      <c r="D5" s="739"/>
      <c r="E5" s="130" t="s">
        <v>71</v>
      </c>
      <c r="F5" s="876" t="s">
        <v>60</v>
      </c>
      <c r="G5" s="738"/>
      <c r="H5" s="738"/>
      <c r="I5" s="739"/>
      <c r="J5" s="1"/>
      <c r="K5" s="742" t="s">
        <v>72</v>
      </c>
      <c r="L5" s="493"/>
      <c r="M5" s="50" t="s">
        <v>22</v>
      </c>
      <c r="N5" s="742" t="s">
        <v>82</v>
      </c>
      <c r="O5" s="493"/>
      <c r="P5" s="48"/>
      <c r="Q5" s="745" t="s">
        <v>138</v>
      </c>
      <c r="R5" s="746"/>
      <c r="S5" s="747"/>
    </row>
    <row r="6" spans="2:25" ht="18.75" thickBot="1" x14ac:dyDescent="0.25">
      <c r="B6" s="773" t="str">
        <f>مطبوعات!E5</f>
        <v xml:space="preserve"> MWHEBA</v>
      </c>
      <c r="C6" s="774"/>
      <c r="D6" s="775"/>
      <c r="E6" s="51">
        <f>O12*مطبوعات!I5</f>
        <v>0</v>
      </c>
      <c r="F6" s="894"/>
      <c r="G6" s="914"/>
      <c r="H6" s="914"/>
      <c r="I6" s="895"/>
      <c r="J6" s="1"/>
      <c r="K6" s="776">
        <f>IF(K8&gt;0,CONCATENATE(K8," x ",L8),0)</f>
        <v>0</v>
      </c>
      <c r="L6" s="777"/>
      <c r="M6" s="864" t="s">
        <v>247</v>
      </c>
      <c r="N6" s="184" t="str">
        <f>IF(AND(K8&lt;&gt;"",L8&lt;&gt;""),Y13,"تأكد من المقاس")</f>
        <v>تأكد من المقاس</v>
      </c>
      <c r="O6" s="68" t="s">
        <v>88</v>
      </c>
      <c r="P6" s="54"/>
      <c r="Q6" s="750" t="str">
        <f>IFERROR(IF(ISNUMBER(Q11),Q11/E6,0),"أدخل العدد")</f>
        <v>أدخل العدد</v>
      </c>
      <c r="R6" s="751"/>
      <c r="S6" s="752"/>
      <c r="W6" s="854" t="s">
        <v>74</v>
      </c>
      <c r="X6" s="854"/>
      <c r="Y6" s="854"/>
    </row>
    <row r="7" spans="2:25" ht="16.5" thickBot="1" x14ac:dyDescent="0.25">
      <c r="J7" s="1"/>
      <c r="K7" s="125"/>
      <c r="L7" s="126"/>
      <c r="M7" s="865"/>
      <c r="N7" s="742" t="s">
        <v>81</v>
      </c>
      <c r="O7" s="493"/>
      <c r="Q7"/>
    </row>
    <row r="8" spans="2:25" ht="18.75" thickBot="1" x14ac:dyDescent="0.25">
      <c r="B8" s="855" t="s">
        <v>165</v>
      </c>
      <c r="C8" s="856"/>
      <c r="D8" s="857"/>
      <c r="E8" s="858">
        <v>10</v>
      </c>
      <c r="F8" s="859"/>
      <c r="G8" s="860"/>
      <c r="H8" s="806" t="s">
        <v>85</v>
      </c>
      <c r="I8" s="808"/>
      <c r="J8" s="66"/>
      <c r="K8" s="173"/>
      <c r="L8" s="157"/>
      <c r="M8" s="866"/>
      <c r="N8" s="861"/>
      <c r="O8" s="862"/>
      <c r="Q8"/>
      <c r="R8"/>
      <c r="U8" s="50" t="s">
        <v>187</v>
      </c>
      <c r="V8" s="50" t="s">
        <v>98</v>
      </c>
      <c r="W8" s="46" t="s">
        <v>72</v>
      </c>
      <c r="X8" s="46">
        <f>DGET(Data!$I$3:$K$8,Data!$J$3,$E$12:$E$13)</f>
        <v>48</v>
      </c>
      <c r="Y8" s="46">
        <f>DGET(Data!$I$3:$K$8,Data!$K$3,$E$12:$E$13)</f>
        <v>32</v>
      </c>
    </row>
    <row r="9" spans="2:25" ht="15" thickBot="1" x14ac:dyDescent="0.25">
      <c r="B9" s="1"/>
      <c r="C9" s="1"/>
      <c r="D9" s="1"/>
      <c r="E9" s="1"/>
      <c r="F9" s="1"/>
      <c r="G9" s="1"/>
      <c r="H9" s="1"/>
      <c r="I9" s="1"/>
      <c r="J9" s="1"/>
      <c r="K9" s="1"/>
      <c r="L9" s="1"/>
      <c r="M9" s="1"/>
      <c r="N9" s="1"/>
      <c r="O9" s="1"/>
      <c r="Q9"/>
      <c r="R9"/>
      <c r="U9" s="131" t="b">
        <v>1</v>
      </c>
      <c r="V9" s="131" t="str">
        <f>D13</f>
        <v>ارت اكسبريس</v>
      </c>
      <c r="W9" s="46">
        <f>K8</f>
        <v>0</v>
      </c>
      <c r="X9" s="46" t="e">
        <f>ROUNDDOWN(X8/W9,0)</f>
        <v>#DIV/0!</v>
      </c>
      <c r="Y9" s="46" t="e">
        <f>ROUNDDOWN(Y8/W9,0)</f>
        <v>#DIV/0!</v>
      </c>
    </row>
    <row r="10" spans="2:25" ht="18.75" thickBot="1" x14ac:dyDescent="0.25">
      <c r="B10" s="791" t="s">
        <v>167</v>
      </c>
      <c r="C10" s="792"/>
      <c r="D10" s="792"/>
      <c r="E10" s="792"/>
      <c r="F10" s="792"/>
      <c r="G10" s="792"/>
      <c r="H10" s="792"/>
      <c r="I10" s="793"/>
      <c r="K10" s="806" t="s">
        <v>25</v>
      </c>
      <c r="L10" s="833"/>
      <c r="M10" s="877" t="s">
        <v>168</v>
      </c>
      <c r="N10" s="807"/>
      <c r="O10" s="808"/>
      <c r="Q10" s="753" t="s">
        <v>30</v>
      </c>
      <c r="R10" s="754"/>
      <c r="S10" s="755"/>
      <c r="W10" s="46">
        <f>L8</f>
        <v>0</v>
      </c>
      <c r="X10" s="46" t="e">
        <f>ROUNDDOWN(X8/W10,0)</f>
        <v>#DIV/0!</v>
      </c>
      <c r="Y10" s="46" t="e">
        <f>ROUNDDOWN(Y8/W10,0)</f>
        <v>#DIV/0!</v>
      </c>
    </row>
    <row r="11" spans="2:25" ht="15" x14ac:dyDescent="0.2">
      <c r="B11" s="782" t="s">
        <v>92</v>
      </c>
      <c r="C11" s="913" t="s">
        <v>93</v>
      </c>
      <c r="D11" s="743" t="s">
        <v>96</v>
      </c>
      <c r="E11" s="534"/>
      <c r="F11" s="534"/>
      <c r="G11" s="744"/>
      <c r="H11" s="527" t="s">
        <v>81</v>
      </c>
      <c r="I11" s="514"/>
      <c r="K11" s="80" t="s">
        <v>120</v>
      </c>
      <c r="L11" s="96" t="s">
        <v>81</v>
      </c>
      <c r="M11" s="187" t="s">
        <v>26</v>
      </c>
      <c r="N11" s="27" t="s">
        <v>121</v>
      </c>
      <c r="O11" s="81" t="s">
        <v>47</v>
      </c>
      <c r="Q11" s="756">
        <f>IF(H18="ادخل سعر الفرخ",0,N8+M12+N12+L12+H13+H18+(O18*N18)+(O19*N19)+(O23*N23)+(O24*N24))</f>
        <v>0</v>
      </c>
      <c r="R11" s="757"/>
      <c r="S11" s="758"/>
    </row>
    <row r="12" spans="2:25" ht="15" x14ac:dyDescent="0.2">
      <c r="B12" s="783"/>
      <c r="C12" s="847"/>
      <c r="D12" s="132" t="s">
        <v>98</v>
      </c>
      <c r="E12" s="72" t="s">
        <v>99</v>
      </c>
      <c r="F12" s="70" t="s">
        <v>169</v>
      </c>
      <c r="G12" s="132" t="s">
        <v>170</v>
      </c>
      <c r="H12" s="528"/>
      <c r="I12" s="515"/>
      <c r="K12" s="852"/>
      <c r="L12" s="905">
        <f>IF(K12&lt;&gt;"",E18*DGET('خدمات الطباعة'!$AB$3:$AD$19,'خدمات الطباعة'!AC3,K11:K12),0)</f>
        <v>0</v>
      </c>
      <c r="M12" s="907">
        <f>IF(M14=TRUE,(ROUNDUP(B13/1000,0))*(DGET('خدمات الطباعة'!AB3:AD19,'خدمات الطباعة'!AC3,M10:M11)),0)</f>
        <v>0</v>
      </c>
      <c r="N12" s="909"/>
      <c r="O12" s="911">
        <f>IF(مطبوعات!B17="ديجيتال",مطبوعات!P17,0)</f>
        <v>0</v>
      </c>
      <c r="Q12" s="849"/>
      <c r="R12" s="850"/>
      <c r="S12" s="851"/>
      <c r="Y12" s="46" t="s">
        <v>90</v>
      </c>
    </row>
    <row r="13" spans="2:25" ht="18.75" thickBot="1" x14ac:dyDescent="0.25">
      <c r="B13" s="74">
        <f>IF(N6="تأكد من المقاس",0,U21+IF(H23="محتسبة هنا",F23)+IF(H24="محتسبة هنا",F24))</f>
        <v>0</v>
      </c>
      <c r="C13" s="133">
        <f>IF(M6="وجه واحد",U21,U21*2)+IF(H23="محتسبة هنا",U23)+IF(H24="محتسبة هنا",U24)</f>
        <v>0</v>
      </c>
      <c r="D13" s="134" t="s">
        <v>193</v>
      </c>
      <c r="E13" s="135" t="s">
        <v>233</v>
      </c>
      <c r="F13" s="174">
        <f>IF(B13=0,0,DGET(المطابع!$N$4:$U$108,المطابع!$T$4,U8:V9))</f>
        <v>0</v>
      </c>
      <c r="G13" s="137" t="str">
        <f>IF(B13=0,"",DGET(المطابع!N4:U104,المطابع!U4,U8:V9))</f>
        <v/>
      </c>
      <c r="H13" s="887">
        <f>F13*C13</f>
        <v>0</v>
      </c>
      <c r="I13" s="888"/>
      <c r="K13" s="853"/>
      <c r="L13" s="906"/>
      <c r="M13" s="908"/>
      <c r="N13" s="910"/>
      <c r="O13" s="912"/>
      <c r="Q13" s="759"/>
      <c r="R13" s="760"/>
      <c r="S13" s="761"/>
      <c r="Y13" s="46" t="e">
        <f>MAX(Y10*X9,X10*Y9)</f>
        <v>#DIV/0!</v>
      </c>
    </row>
    <row r="14" spans="2:25" ht="18" hidden="1" x14ac:dyDescent="0.2">
      <c r="B14" s="138"/>
      <c r="C14" s="138"/>
      <c r="D14" s="139"/>
      <c r="E14" s="140"/>
      <c r="F14" s="141"/>
      <c r="G14" s="141"/>
      <c r="H14" s="142"/>
      <c r="I14" s="142"/>
      <c r="K14" s="143"/>
      <c r="L14" s="144"/>
      <c r="M14" s="128" t="b">
        <v>0</v>
      </c>
      <c r="O14" s="128"/>
      <c r="Q14" s="145"/>
      <c r="R14" s="145"/>
    </row>
    <row r="15" spans="2:25" ht="15" thickBot="1" x14ac:dyDescent="0.25">
      <c r="B15" s="1"/>
      <c r="C15" s="1"/>
      <c r="D15" s="1"/>
      <c r="E15" s="1"/>
      <c r="F15" s="175">
        <v>46204.655277777776</v>
      </c>
      <c r="G15" s="1"/>
      <c r="H15" s="1"/>
      <c r="I15" s="1"/>
      <c r="L15" s="1"/>
    </row>
    <row r="16" spans="2:25" ht="18.75" thickBot="1" x14ac:dyDescent="0.25">
      <c r="B16" s="788" t="s">
        <v>172</v>
      </c>
      <c r="C16" s="789"/>
      <c r="D16" s="789"/>
      <c r="E16" s="789"/>
      <c r="F16" s="789"/>
      <c r="G16" s="789"/>
      <c r="H16" s="146"/>
      <c r="I16" s="147"/>
      <c r="K16" s="806" t="s">
        <v>173</v>
      </c>
      <c r="L16" s="807"/>
      <c r="M16" s="807"/>
      <c r="N16" s="807"/>
      <c r="O16" s="808"/>
      <c r="U16" s="46">
        <f>IF(J13&gt;B13,"خطأ ألوان مخصوصة",0)</f>
        <v>0</v>
      </c>
    </row>
    <row r="17" spans="2:22" ht="15" x14ac:dyDescent="0.2">
      <c r="B17" s="123" t="s">
        <v>103</v>
      </c>
      <c r="C17" s="121" t="s">
        <v>104</v>
      </c>
      <c r="D17" s="121" t="s">
        <v>106</v>
      </c>
      <c r="E17" s="122" t="s">
        <v>71</v>
      </c>
      <c r="F17" s="123" t="s">
        <v>108</v>
      </c>
      <c r="G17" s="123" t="s">
        <v>174</v>
      </c>
      <c r="H17" s="742" t="s">
        <v>81</v>
      </c>
      <c r="I17" s="493"/>
      <c r="K17" s="742" t="s">
        <v>60</v>
      </c>
      <c r="L17" s="491"/>
      <c r="M17" s="492"/>
      <c r="N17" s="27" t="s">
        <v>71</v>
      </c>
      <c r="O17" s="28" t="s">
        <v>127</v>
      </c>
    </row>
    <row r="18" spans="2:22" ht="15" x14ac:dyDescent="0.2">
      <c r="B18" s="819" t="s">
        <v>111</v>
      </c>
      <c r="C18" s="821">
        <v>300</v>
      </c>
      <c r="D18" s="823" t="s">
        <v>171</v>
      </c>
      <c r="E18" s="903">
        <f>ROUNDUP(IF(E13="ثمن",B13/8,IF(E13="ربع",B13/4,B13/2)),0)</f>
        <v>0</v>
      </c>
      <c r="F18" s="827">
        <f>IF(G13="غير شامل الورق",IFERROR(INDEX('أسعار الورق'!$H$3:$H$74,SUMPRODUCT(('أسعار الورق'!$B$3:$B$74=B18)*('أسعار الورق'!$D$3:$D$74=C18)*('أسعار الورق'!$F$3:$F$74=D18)*ROW('أسعار الورق'!$H$3:$H$74))-2,0),"تأكد من الورق"),0)</f>
        <v>0</v>
      </c>
      <c r="G18" s="827">
        <f>IF(G13="شامل ورق",IF(B18="كوشيه","لا يوجد",IFERROR(INDEX('أسعار الورق'!$I$3:$I$74,SUMPRODUCT(('أسعار الورق'!$B$3:$B$74=B18)*('أسعار الورق'!$D$3:$D$74=C18)*('أسعار الورق'!$F$3:$F$74=D18)*ROW('أسعار الورق'!$I$3:$I$74))-2,0),"تأكد من الورق")),0)</f>
        <v>0</v>
      </c>
      <c r="H18" s="829">
        <f>IFERROR(IF(F18="-","ادخل سعر الفرخ",F18*E18+G18*E18),0)</f>
        <v>0</v>
      </c>
      <c r="I18" s="830"/>
      <c r="K18" s="794"/>
      <c r="L18" s="795"/>
      <c r="M18" s="796"/>
      <c r="N18" s="112"/>
      <c r="O18" s="148"/>
    </row>
    <row r="19" spans="2:22" ht="15.75" thickBot="1" x14ac:dyDescent="0.25">
      <c r="B19" s="820"/>
      <c r="C19" s="822"/>
      <c r="D19" s="824"/>
      <c r="E19" s="904"/>
      <c r="F19" s="828"/>
      <c r="G19" s="828"/>
      <c r="H19" s="831"/>
      <c r="I19" s="832"/>
      <c r="J19" s="42" t="str">
        <f ca="1">CELL("address",INDEX('أسعار الورق'!$H$3:$H$74,SUMPRODUCT(('أسعار الورق'!$B$3:$B$74=B18)*('أسعار الورق'!$D$3:$D$74=C18)*('أسعار الورق'!$F$3:$F$74=D18)*ROW('أسعار الورق'!$H$3:$H$74))-2,0))</f>
        <v>'[Pricing 2024.xlsm]أسعار الورق'!$H$9</v>
      </c>
      <c r="K19" s="800"/>
      <c r="L19" s="801"/>
      <c r="M19" s="802"/>
      <c r="N19" s="115"/>
      <c r="O19" s="149"/>
    </row>
    <row r="20" spans="2:22" ht="15" thickBot="1" x14ac:dyDescent="0.25">
      <c r="B20" s="1"/>
      <c r="C20" s="1"/>
      <c r="D20" s="1"/>
      <c r="E20" s="1"/>
      <c r="F20" s="1"/>
      <c r="G20" s="1"/>
      <c r="H20" s="1"/>
      <c r="I20" s="1"/>
      <c r="J20" s="1"/>
      <c r="U20" s="46" t="s">
        <v>175</v>
      </c>
    </row>
    <row r="21" spans="2:22" ht="18.75" thickBot="1" x14ac:dyDescent="0.25">
      <c r="C21" s="811" t="s">
        <v>176</v>
      </c>
      <c r="D21" s="812"/>
      <c r="E21" s="812"/>
      <c r="F21" s="812"/>
      <c r="G21" s="812"/>
      <c r="H21" s="813"/>
      <c r="I21"/>
      <c r="K21" s="806" t="s">
        <v>126</v>
      </c>
      <c r="L21" s="807"/>
      <c r="M21" s="807"/>
      <c r="N21" s="807"/>
      <c r="O21" s="808"/>
      <c r="U21" s="185">
        <f>IF(N6="تأكد من المقاس",0,ROUNDUP(E6/N6,0)+E8)</f>
        <v>0</v>
      </c>
    </row>
    <row r="22" spans="2:22" ht="15" customHeight="1" x14ac:dyDescent="0.2">
      <c r="C22" s="124" t="s">
        <v>60</v>
      </c>
      <c r="D22" s="814" t="s">
        <v>170</v>
      </c>
      <c r="E22" s="492"/>
      <c r="F22" s="27" t="s">
        <v>92</v>
      </c>
      <c r="G22" s="27" t="s">
        <v>22</v>
      </c>
      <c r="H22" s="28" t="s">
        <v>177</v>
      </c>
      <c r="I22"/>
      <c r="K22" s="742" t="s">
        <v>60</v>
      </c>
      <c r="L22" s="491"/>
      <c r="M22" s="492"/>
      <c r="N22" s="27" t="s">
        <v>71</v>
      </c>
      <c r="O22" s="28" t="s">
        <v>127</v>
      </c>
      <c r="U22" s="46" t="s">
        <v>93</v>
      </c>
      <c r="V22" s="46" t="s">
        <v>93</v>
      </c>
    </row>
    <row r="23" spans="2:22" ht="15" x14ac:dyDescent="0.2">
      <c r="C23" s="176"/>
      <c r="D23" s="901"/>
      <c r="E23" s="902"/>
      <c r="F23" s="151"/>
      <c r="G23" s="152"/>
      <c r="H23" s="148"/>
      <c r="I23"/>
      <c r="K23" s="794"/>
      <c r="L23" s="795"/>
      <c r="M23" s="796"/>
      <c r="N23" s="112"/>
      <c r="O23" s="148"/>
      <c r="U23" s="46">
        <f>IF(G23="وجهين",F23*2,F23)</f>
        <v>0</v>
      </c>
      <c r="V23" s="46">
        <f>IF(H23="غلاف",U23)+IF(H24="غلاف",U24)+C13</f>
        <v>0</v>
      </c>
    </row>
    <row r="24" spans="2:22" ht="15.75" thickBot="1" x14ac:dyDescent="0.25">
      <c r="C24" s="177"/>
      <c r="D24" s="899"/>
      <c r="E24" s="900"/>
      <c r="F24" s="154"/>
      <c r="G24" s="155"/>
      <c r="H24" s="149"/>
      <c r="I24"/>
      <c r="J24" s="111"/>
      <c r="K24" s="800"/>
      <c r="L24" s="801"/>
      <c r="M24" s="802"/>
      <c r="N24" s="115"/>
      <c r="O24" s="149"/>
      <c r="U24" s="46">
        <f>IF(G24="وجهين",F24*2,F24)</f>
        <v>0</v>
      </c>
    </row>
  </sheetData>
  <sheetProtection algorithmName="SHA-512" hashValue="ahwMxEyLxl2KOB5xea1Qn1HQVs9pra6KnMA1piaFTZ9+yFkEzJelcCplAa6Hk4U/CFhR/nAoEes0egx+BNRzCA==" saltValue="2ClD/EyQEyocdW+FGIhq7Q==" spinCount="100000" sheet="1" objects="1" scenarios="1"/>
  <mergeCells count="55">
    <mergeCell ref="D1:M2"/>
    <mergeCell ref="B4:I4"/>
    <mergeCell ref="K4:O4"/>
    <mergeCell ref="B5:D5"/>
    <mergeCell ref="F5:I5"/>
    <mergeCell ref="K5:L5"/>
    <mergeCell ref="N5:O5"/>
    <mergeCell ref="Q5:S5"/>
    <mergeCell ref="B6:D6"/>
    <mergeCell ref="F6:I6"/>
    <mergeCell ref="K6:L6"/>
    <mergeCell ref="M6:M8"/>
    <mergeCell ref="Q6:S6"/>
    <mergeCell ref="W6:Y6"/>
    <mergeCell ref="N7:O7"/>
    <mergeCell ref="B8:D8"/>
    <mergeCell ref="E8:G8"/>
    <mergeCell ref="H8:I8"/>
    <mergeCell ref="N8:O8"/>
    <mergeCell ref="Q10:S10"/>
    <mergeCell ref="B11:B12"/>
    <mergeCell ref="C11:C12"/>
    <mergeCell ref="D11:G11"/>
    <mergeCell ref="H11:I12"/>
    <mergeCell ref="Q11:S13"/>
    <mergeCell ref="K12:K13"/>
    <mergeCell ref="B16:G16"/>
    <mergeCell ref="K16:O16"/>
    <mergeCell ref="B10:I10"/>
    <mergeCell ref="K10:L10"/>
    <mergeCell ref="M10:O10"/>
    <mergeCell ref="L12:L13"/>
    <mergeCell ref="M12:M13"/>
    <mergeCell ref="N12:N13"/>
    <mergeCell ref="O12:O13"/>
    <mergeCell ref="H13:I13"/>
    <mergeCell ref="H17:I17"/>
    <mergeCell ref="K17:M17"/>
    <mergeCell ref="B18:B19"/>
    <mergeCell ref="C18:C19"/>
    <mergeCell ref="D18:D19"/>
    <mergeCell ref="E18:E19"/>
    <mergeCell ref="F18:F19"/>
    <mergeCell ref="G18:G19"/>
    <mergeCell ref="H18:I19"/>
    <mergeCell ref="K18:M18"/>
    <mergeCell ref="D24:E24"/>
    <mergeCell ref="K24:M24"/>
    <mergeCell ref="K19:M19"/>
    <mergeCell ref="C21:H21"/>
    <mergeCell ref="K21:O21"/>
    <mergeCell ref="D22:E22"/>
    <mergeCell ref="K22:M22"/>
    <mergeCell ref="D23:E23"/>
    <mergeCell ref="K23:M23"/>
  </mergeCells>
  <conditionalFormatting sqref="N6">
    <cfRule type="expression" dxfId="30" priority="13">
      <formula>$N$6="تأكد من المقاس"</formula>
    </cfRule>
  </conditionalFormatting>
  <conditionalFormatting sqref="G17:G19">
    <cfRule type="expression" dxfId="29" priority="12">
      <formula>$G$13="غير شامل الورق"</formula>
    </cfRule>
  </conditionalFormatting>
  <conditionalFormatting sqref="F17:F19">
    <cfRule type="expression" dxfId="28" priority="11">
      <formula>$G$13="شامل ورق"</formula>
    </cfRule>
  </conditionalFormatting>
  <conditionalFormatting sqref="H18">
    <cfRule type="expression" dxfId="27" priority="10">
      <formula>$H$18="ادخل سعر الفرخ"</formula>
    </cfRule>
  </conditionalFormatting>
  <conditionalFormatting sqref="G24">
    <cfRule type="expression" dxfId="26" priority="7">
      <formula>AND($G$24=0,$C$24&lt;&gt;"")</formula>
    </cfRule>
  </conditionalFormatting>
  <conditionalFormatting sqref="G23">
    <cfRule type="expression" dxfId="25" priority="6">
      <formula>AND($G$23=0,$C$23&lt;&gt;"")</formula>
    </cfRule>
  </conditionalFormatting>
  <conditionalFormatting sqref="D18:D19">
    <cfRule type="expression" dxfId="24" priority="5">
      <formula>$D$18&lt;&gt;$D$13</formula>
    </cfRule>
  </conditionalFormatting>
  <conditionalFormatting sqref="H23">
    <cfRule type="expression" dxfId="23" priority="2">
      <formula>AND($H$23=0,$C$23&lt;&gt;"")</formula>
    </cfRule>
  </conditionalFormatting>
  <conditionalFormatting sqref="H24">
    <cfRule type="expression" dxfId="22" priority="1">
      <formula>AND($H$24=0,$C$24&lt;&gt;"")</formula>
    </cfRule>
  </conditionalFormatting>
  <dataValidations count="7">
    <dataValidation type="list" allowBlank="1" showInputMessage="1" showErrorMessage="1" sqref="B18:B19" xr:uid="{00000000-0002-0000-0900-000000000000}">
      <formula1>Papers_no3</formula1>
    </dataValidation>
    <dataValidation type="list" allowBlank="1" showInputMessage="1" showErrorMessage="1" sqref="G23:G24 M6:M8" xr:uid="{00000000-0002-0000-0900-000001000000}">
      <formula1>"وجه واحد,وجهين"</formula1>
    </dataValidation>
    <dataValidation type="list" allowBlank="1" showInputMessage="1" showErrorMessage="1" sqref="D13" xr:uid="{00000000-0002-0000-0900-000002000000}">
      <formula1>Digital_Presses</formula1>
    </dataValidation>
    <dataValidation type="list" allowBlank="1" showInputMessage="1" showErrorMessage="1" sqref="D18:D19" xr:uid="{00000000-0002-0000-0900-000003000000}">
      <formula1>Papers_ma5zan</formula1>
    </dataValidation>
    <dataValidation type="list" allowBlank="1" showInputMessage="1" showErrorMessage="1" sqref="E13" xr:uid="{00000000-0002-0000-0900-000004000000}">
      <formula1>"ربع,ربع (A3+)"</formula1>
    </dataValidation>
    <dataValidation type="list" allowBlank="1" showInputMessage="1" showErrorMessage="1" sqref="K12:K13" xr:uid="{00000000-0002-0000-0900-000005000000}">
      <formula1>Lamination_Services</formula1>
    </dataValidation>
    <dataValidation type="list" allowBlank="1" showInputMessage="1" showErrorMessage="1" sqref="H23:H24" xr:uid="{00000000-0002-0000-0900-000006000000}">
      <formula1>"محتسبة هنا,غلاف"</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locked="0" defaultSize="0" autoFill="0" autoLine="0" autoPict="0">
                <anchor moveWithCells="1">
                  <from>
                    <xdr:col>12</xdr:col>
                    <xdr:colOff>28575</xdr:colOff>
                    <xdr:row>9</xdr:row>
                    <xdr:rowOff>219075</xdr:rowOff>
                  </from>
                  <to>
                    <xdr:col>12</xdr:col>
                    <xdr:colOff>238125</xdr:colOff>
                    <xdr:row>11</xdr:row>
                    <xdr:rowOff>28575</xdr:rowOff>
                  </to>
                </anchor>
              </controlPr>
            </control>
          </mc:Choice>
        </mc:AlternateContent>
        <mc:AlternateContent xmlns:mc="http://schemas.openxmlformats.org/markup-compatibility/2006">
          <mc:Choice Requires="x14">
            <control shapeId="12294" r:id="rId4" name="Check Box 6">
              <controlPr locked="0" defaultSize="0" autoFill="0" autoLine="0" autoPict="0">
                <anchor moveWithCells="1">
                  <from>
                    <xdr:col>12</xdr:col>
                    <xdr:colOff>28575</xdr:colOff>
                    <xdr:row>9</xdr:row>
                    <xdr:rowOff>219075</xdr:rowOff>
                  </from>
                  <to>
                    <xdr:col>12</xdr:col>
                    <xdr:colOff>238125</xdr:colOff>
                    <xdr:row>11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7000000}">
          <x14:formula1>
            <xm:f>'خدمات الطباعة'!$AD$8:$AD$11</xm:f>
          </x14:formula1>
          <xm:sqref>M11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A109"/>
  <sheetViews>
    <sheetView showZeros="0" rightToLeft="1" workbookViewId="0">
      <selection activeCell="F18" sqref="F18"/>
    </sheetView>
  </sheetViews>
  <sheetFormatPr defaultColWidth="9" defaultRowHeight="14.25" x14ac:dyDescent="0.2"/>
  <cols>
    <col min="1" max="1" width="13.375" style="1" bestFit="1" customWidth="1"/>
    <col min="2" max="2" width="12.875" style="1" bestFit="1" customWidth="1"/>
    <col min="3" max="3" width="7.5" style="1" bestFit="1" customWidth="1"/>
    <col min="4" max="4" width="7.75" style="1" bestFit="1" customWidth="1"/>
    <col min="5" max="5" width="10.125" style="1" bestFit="1" customWidth="1"/>
    <col min="6" max="6" width="9.875" style="1" bestFit="1" customWidth="1"/>
    <col min="7" max="7" width="10.875" style="1" bestFit="1" customWidth="1"/>
    <col min="8" max="8" width="13.375" style="1" bestFit="1" customWidth="1"/>
    <col min="9" max="9" width="12.75" style="1" bestFit="1" customWidth="1"/>
    <col min="10" max="10" width="10.375" style="1" bestFit="1" customWidth="1"/>
    <col min="11" max="11" width="9.625" style="1" bestFit="1" customWidth="1"/>
    <col min="12" max="12" width="18.625" style="1" bestFit="1" customWidth="1"/>
    <col min="13" max="13" width="16.875" style="1" customWidth="1"/>
    <col min="14" max="14" width="15.75" style="1" hidden="1" customWidth="1"/>
    <col min="15" max="19" width="14.375" style="1" hidden="1" customWidth="1"/>
    <col min="20" max="20" width="15.25" style="298" hidden="1" customWidth="1"/>
    <col min="21" max="23" width="13.625" style="298" hidden="1" customWidth="1"/>
    <col min="24" max="24" width="8.75" style="298" hidden="1" customWidth="1"/>
    <col min="25" max="25" width="13.625" style="298" hidden="1" customWidth="1"/>
    <col min="26" max="26" width="22.375" style="298" hidden="1" customWidth="1"/>
    <col min="27" max="27" width="14.375" style="298" hidden="1" customWidth="1"/>
    <col min="28" max="28" width="0" style="1" hidden="1" customWidth="1"/>
    <col min="29" max="16384" width="9" style="1"/>
  </cols>
  <sheetData>
    <row r="1" spans="1:27" x14ac:dyDescent="0.2">
      <c r="A1"/>
      <c r="B1"/>
      <c r="C1"/>
      <c r="D1"/>
      <c r="E1"/>
      <c r="F1"/>
      <c r="G1"/>
      <c r="H1"/>
      <c r="I1"/>
      <c r="J1"/>
      <c r="K1"/>
      <c r="L1"/>
      <c r="N1" s="298"/>
      <c r="O1" s="298"/>
      <c r="P1" s="298"/>
      <c r="Q1" s="298"/>
      <c r="R1" s="298"/>
      <c r="S1" s="298"/>
      <c r="V1" s="1"/>
      <c r="AA1" s="1"/>
    </row>
    <row r="2" spans="1:27" ht="20.25" x14ac:dyDescent="0.2">
      <c r="N2" s="918" t="s">
        <v>188</v>
      </c>
      <c r="O2" s="918"/>
      <c r="P2" s="918"/>
      <c r="Q2" s="918"/>
      <c r="R2" s="918"/>
      <c r="S2" s="918"/>
      <c r="T2" s="918"/>
      <c r="U2" s="918"/>
      <c r="V2" s="1"/>
      <c r="W2" s="918" t="s">
        <v>217</v>
      </c>
      <c r="X2" s="918"/>
      <c r="Y2" s="918"/>
      <c r="Z2" s="918"/>
      <c r="AA2" s="1"/>
    </row>
    <row r="3" spans="1:27" ht="18" x14ac:dyDescent="0.2">
      <c r="B3" s="413" t="s">
        <v>188</v>
      </c>
      <c r="I3" s="413" t="s">
        <v>217</v>
      </c>
      <c r="N3" s="298"/>
      <c r="O3" s="298"/>
      <c r="P3" s="298"/>
      <c r="Q3" s="298"/>
      <c r="R3" s="298"/>
      <c r="S3" s="298"/>
      <c r="V3" s="1"/>
      <c r="AA3" s="1"/>
    </row>
    <row r="4" spans="1:27" ht="18.75" thickBot="1" x14ac:dyDescent="0.25">
      <c r="N4" s="326" t="s">
        <v>98</v>
      </c>
      <c r="O4" s="327" t="s">
        <v>189</v>
      </c>
      <c r="P4" s="327" t="s">
        <v>190</v>
      </c>
      <c r="Q4" s="327" t="s">
        <v>166</v>
      </c>
      <c r="R4" s="327" t="s">
        <v>187</v>
      </c>
      <c r="S4" s="327" t="s">
        <v>191</v>
      </c>
      <c r="T4" s="327" t="s">
        <v>169</v>
      </c>
      <c r="U4" s="327" t="s">
        <v>170</v>
      </c>
      <c r="V4" s="1"/>
      <c r="W4" s="316" t="s">
        <v>98</v>
      </c>
      <c r="X4" s="316" t="s">
        <v>99</v>
      </c>
      <c r="Y4" s="316" t="s">
        <v>100</v>
      </c>
      <c r="Z4" s="316" t="s">
        <v>84</v>
      </c>
      <c r="AA4" s="1"/>
    </row>
    <row r="5" spans="1:27" ht="18.75" thickBot="1" x14ac:dyDescent="0.25">
      <c r="B5" s="408" t="s">
        <v>98</v>
      </c>
      <c r="C5" s="309" t="s">
        <v>189</v>
      </c>
      <c r="D5" s="309" t="s">
        <v>190</v>
      </c>
      <c r="E5" s="309" t="s">
        <v>191</v>
      </c>
      <c r="F5" s="309" t="s">
        <v>169</v>
      </c>
      <c r="G5" s="408" t="s">
        <v>170</v>
      </c>
      <c r="I5" s="408" t="s">
        <v>98</v>
      </c>
      <c r="J5" s="309" t="s">
        <v>99</v>
      </c>
      <c r="K5" s="309" t="s">
        <v>100</v>
      </c>
      <c r="L5" s="408" t="s">
        <v>84</v>
      </c>
      <c r="N5" s="328" t="str">
        <f>IFERROR(المطابع[[#This Row],[Column2]],"")</f>
        <v>اسم المطبعة</v>
      </c>
      <c r="O5" s="329" t="str">
        <f>IFERROR(المطابع[[#This Row],[Column3]],"")</f>
        <v>الشريحة</v>
      </c>
      <c r="P5" s="330" t="str">
        <f>IFERROR(المطابع[[#This Row],[Column4]],"")</f>
        <v>طبعة من</v>
      </c>
      <c r="Q5" s="331" t="b">
        <f>IF(AND('تسعير ديجيتال'!$V$23&gt;=P5,'تسعير ديجيتال'!$V$23&lt;=S5),TRUE,FALSE)</f>
        <v>0</v>
      </c>
      <c r="R5" s="331" t="b">
        <f>IF(AND('تسعير ديجيتال داخلي'!$V$23&gt;=P5,'تسعير ديجيتال داخلي'!$V$23&lt;=S5),TRUE,FALSE)</f>
        <v>0</v>
      </c>
      <c r="S5" s="329" t="str">
        <f>IFERROR(المطابع[[#This Row],[Column5]],"")</f>
        <v>طبعة إلى</v>
      </c>
      <c r="T5" s="332" t="str">
        <f>IFERROR(المطابع[[#This Row],[Column6]],"")</f>
        <v>سعر الطبعة</v>
      </c>
      <c r="U5" s="333" t="str">
        <f>IFERROR(المطابع[[#This Row],[Column7]],"")</f>
        <v>تفاصيل</v>
      </c>
      <c r="V5" s="1"/>
      <c r="W5" s="334" t="str">
        <f>IFERROR(المطابع[[#This Row],[Column9]],"")</f>
        <v>اسم المطبعة</v>
      </c>
      <c r="X5" s="335" t="str">
        <f>IFERROR(المطابع[[#This Row],[Column10]],"")</f>
        <v>نوع الماكينة</v>
      </c>
      <c r="Y5" s="336" t="str">
        <f>IFERROR(المطابع[[#This Row],[Column11]],"")</f>
        <v>سعر التراج</v>
      </c>
      <c r="Z5" s="337" t="str">
        <f>IFERROR(المطابع[[#This Row],[Column12]],"")</f>
        <v>سعر اللون المخصوص</v>
      </c>
      <c r="AA5" s="1"/>
    </row>
    <row r="6" spans="1:27" ht="18.75" thickBot="1" x14ac:dyDescent="0.25">
      <c r="B6" s="409" t="s">
        <v>193</v>
      </c>
      <c r="C6" s="143">
        <v>1</v>
      </c>
      <c r="D6" s="406">
        <v>1</v>
      </c>
      <c r="E6" s="143">
        <v>10</v>
      </c>
      <c r="F6" s="423" t="s">
        <v>296</v>
      </c>
      <c r="G6" s="411" t="s">
        <v>192</v>
      </c>
      <c r="I6" s="415" t="s">
        <v>135</v>
      </c>
      <c r="J6" s="1" t="s">
        <v>85</v>
      </c>
      <c r="L6" s="416"/>
      <c r="N6" s="328" t="str">
        <f>IFERROR(المطابع[[#This Row],[Column2]],"")</f>
        <v>ارت اكسبريس</v>
      </c>
      <c r="O6" s="329">
        <f>IFERROR(المطابع[[#This Row],[Column3]],"")</f>
        <v>1</v>
      </c>
      <c r="P6" s="330">
        <f>IFERROR(المطابع[[#This Row],[Column4]],"")</f>
        <v>1</v>
      </c>
      <c r="Q6" s="331" t="b">
        <f>IF(AND('تسعير ديجيتال'!$V$23&gt;=P6,'تسعير ديجيتال'!$V$23&lt;=S6),TRUE,FALSE)</f>
        <v>0</v>
      </c>
      <c r="R6" s="331" t="b">
        <f>IF(AND('تسعير ديجيتال داخلي'!$V$23&gt;=P6,'تسعير ديجيتال داخلي'!$V$23&lt;=S6),TRUE,FALSE)</f>
        <v>0</v>
      </c>
      <c r="S6" s="329">
        <f>IFERROR(المطابع[[#This Row],[Column5]],"")</f>
        <v>10</v>
      </c>
      <c r="T6" s="332" t="str">
        <f>IFERROR(المطابع[[#This Row],[Column6]],"")</f>
        <v>15</v>
      </c>
      <c r="U6" s="333" t="str">
        <f>IFERROR(المطابع[[#This Row],[Column7]],"")</f>
        <v>غير شامل الورق</v>
      </c>
      <c r="V6" s="1"/>
      <c r="W6" s="313" t="str">
        <f>IFERROR(المطابع[[#This Row],[Column9]],"")</f>
        <v>الشيخ جميل</v>
      </c>
      <c r="X6" s="314" t="str">
        <f>IFERROR(المطابع[[#This Row],[Column10]],"")</f>
        <v>ربع</v>
      </c>
      <c r="Y6" s="315">
        <f>IFERROR(المطابع[[#This Row],[Column11]],"")</f>
        <v>0</v>
      </c>
      <c r="Z6" s="404">
        <f>IFERROR(المطابع[[#This Row],[Column12]],"")</f>
        <v>0</v>
      </c>
      <c r="AA6" s="1"/>
    </row>
    <row r="7" spans="1:27" ht="18.75" thickBot="1" x14ac:dyDescent="0.25">
      <c r="B7" s="409" t="s">
        <v>193</v>
      </c>
      <c r="C7" s="143">
        <v>2</v>
      </c>
      <c r="D7" s="406">
        <v>11</v>
      </c>
      <c r="E7" s="143">
        <v>30</v>
      </c>
      <c r="F7" s="423" t="s">
        <v>288</v>
      </c>
      <c r="G7" s="411" t="s">
        <v>192</v>
      </c>
      <c r="I7" s="415" t="s">
        <v>135</v>
      </c>
      <c r="J7" s="1" t="s">
        <v>101</v>
      </c>
      <c r="L7" s="416"/>
      <c r="N7" s="328" t="str">
        <f>IFERROR(المطابع[[#This Row],[Column2]],"")</f>
        <v>ارت اكسبريس</v>
      </c>
      <c r="O7" s="329">
        <f>IFERROR(المطابع[[#This Row],[Column3]],"")</f>
        <v>2</v>
      </c>
      <c r="P7" s="330">
        <f>IFERROR(المطابع[[#This Row],[Column4]],"")</f>
        <v>11</v>
      </c>
      <c r="Q7" s="331" t="b">
        <f>IF(AND('تسعير ديجيتال'!$V$23&gt;=P7,'تسعير ديجيتال'!$V$23&lt;=S7),TRUE,FALSE)</f>
        <v>0</v>
      </c>
      <c r="R7" s="331" t="b">
        <f>IF(AND('تسعير ديجيتال داخلي'!$V$23&gt;=P7,'تسعير ديجيتال داخلي'!$V$23&lt;=S7),TRUE,FALSE)</f>
        <v>0</v>
      </c>
      <c r="S7" s="329">
        <f>IFERROR(المطابع[[#This Row],[Column5]],"")</f>
        <v>30</v>
      </c>
      <c r="T7" s="332" t="str">
        <f>IFERROR(المطابع[[#This Row],[Column6]],"")</f>
        <v>10</v>
      </c>
      <c r="U7" s="333" t="str">
        <f>IFERROR(المطابع[[#This Row],[Column7]],"")</f>
        <v>غير شامل الورق</v>
      </c>
      <c r="V7" s="1"/>
      <c r="W7" s="325" t="str">
        <f>IFERROR(المطابع[[#This Row],[Column9]],"")</f>
        <v>الشيخ جميل</v>
      </c>
      <c r="X7" s="314" t="str">
        <f>IFERROR(المطابع[[#This Row],[Column10]],"")</f>
        <v>ثمن</v>
      </c>
      <c r="Y7" s="338">
        <f>IFERROR(المطابع[[#This Row],[Column11]],"")</f>
        <v>0</v>
      </c>
      <c r="Z7" s="405">
        <f>IFERROR(المطابع[[#This Row],[Column12]],"")</f>
        <v>0</v>
      </c>
      <c r="AA7" s="1"/>
    </row>
    <row r="8" spans="1:27" ht="18.75" thickBot="1" x14ac:dyDescent="0.25">
      <c r="B8" s="409" t="s">
        <v>193</v>
      </c>
      <c r="C8" s="143">
        <v>3</v>
      </c>
      <c r="D8" s="406">
        <v>31</v>
      </c>
      <c r="E8" s="143">
        <v>100</v>
      </c>
      <c r="F8" s="423" t="s">
        <v>292</v>
      </c>
      <c r="G8" s="411" t="s">
        <v>192</v>
      </c>
      <c r="I8" s="415" t="s">
        <v>311</v>
      </c>
      <c r="J8" s="1" t="s">
        <v>110</v>
      </c>
      <c r="K8" s="1" t="s">
        <v>259</v>
      </c>
      <c r="L8" s="416"/>
      <c r="N8" s="328" t="str">
        <f>IFERROR(المطابع[[#This Row],[Column2]],"")</f>
        <v>ارت اكسبريس</v>
      </c>
      <c r="O8" s="329">
        <f>IFERROR(المطابع[[#This Row],[Column3]],"")</f>
        <v>3</v>
      </c>
      <c r="P8" s="330">
        <f>IFERROR(المطابع[[#This Row],[Column4]],"")</f>
        <v>31</v>
      </c>
      <c r="Q8" s="331" t="b">
        <f>IF(AND('تسعير ديجيتال'!$V$23&gt;=P8,'تسعير ديجيتال'!$V$23&lt;=S8),TRUE,FALSE)</f>
        <v>0</v>
      </c>
      <c r="R8" s="331" t="b">
        <f>IF(AND('تسعير ديجيتال داخلي'!$V$23&gt;=P8,'تسعير ديجيتال داخلي'!$V$23&lt;=S8),TRUE,FALSE)</f>
        <v>0</v>
      </c>
      <c r="S8" s="329">
        <f>IFERROR(المطابع[[#This Row],[Column5]],"")</f>
        <v>100</v>
      </c>
      <c r="T8" s="332" t="str">
        <f>IFERROR(المطابع[[#This Row],[Column6]],"")</f>
        <v>6</v>
      </c>
      <c r="U8" s="333" t="str">
        <f>IFERROR(المطابع[[#This Row],[Column7]],"")</f>
        <v>غير شامل الورق</v>
      </c>
      <c r="V8" s="1"/>
      <c r="W8" s="313" t="str">
        <f>IFERROR(المطابع[[#This Row],[Column9]],"")</f>
        <v>ياسر دهب</v>
      </c>
      <c r="X8" s="314" t="str">
        <f>IFERROR(المطابع[[#This Row],[Column10]],"")</f>
        <v>نص</v>
      </c>
      <c r="Y8" s="315" t="str">
        <f>IFERROR(المطابع[[#This Row],[Column11]],"")</f>
        <v>150</v>
      </c>
      <c r="Z8" s="312">
        <f>IFERROR(المطابع[[#This Row],[Column12]],"")</f>
        <v>0</v>
      </c>
      <c r="AA8" s="1"/>
    </row>
    <row r="9" spans="1:27" ht="18.75" thickBot="1" x14ac:dyDescent="0.25">
      <c r="B9" s="409" t="s">
        <v>193</v>
      </c>
      <c r="C9" s="143">
        <v>4</v>
      </c>
      <c r="D9" s="406">
        <v>101</v>
      </c>
      <c r="E9" s="143">
        <v>500</v>
      </c>
      <c r="F9" s="423" t="s">
        <v>291</v>
      </c>
      <c r="G9" s="411" t="s">
        <v>192</v>
      </c>
      <c r="I9" s="415" t="s">
        <v>311</v>
      </c>
      <c r="J9" s="1" t="s">
        <v>115</v>
      </c>
      <c r="K9" s="1" t="s">
        <v>305</v>
      </c>
      <c r="L9" s="416" t="s">
        <v>322</v>
      </c>
      <c r="N9" s="328" t="str">
        <f>IFERROR(المطابع[[#This Row],[Column2]],"")</f>
        <v>ارت اكسبريس</v>
      </c>
      <c r="O9" s="329">
        <f>IFERROR(المطابع[[#This Row],[Column3]],"")</f>
        <v>4</v>
      </c>
      <c r="P9" s="330">
        <f>IFERROR(المطابع[[#This Row],[Column4]],"")</f>
        <v>101</v>
      </c>
      <c r="Q9" s="331" t="b">
        <f>IF(AND('تسعير ديجيتال'!$V$23&gt;=P9,'تسعير ديجيتال'!$V$23&lt;=S9),TRUE,FALSE)</f>
        <v>1</v>
      </c>
      <c r="R9" s="331" t="b">
        <f>IF(AND('تسعير ديجيتال داخلي'!$V$23&gt;=P9,'تسعير ديجيتال داخلي'!$V$23&lt;=S9),TRUE,FALSE)</f>
        <v>0</v>
      </c>
      <c r="S9" s="329">
        <f>IFERROR(المطابع[[#This Row],[Column5]],"")</f>
        <v>500</v>
      </c>
      <c r="T9" s="332" t="str">
        <f>IFERROR(المطابع[[#This Row],[Column6]],"")</f>
        <v>5</v>
      </c>
      <c r="U9" s="333" t="str">
        <f>IFERROR(المطابع[[#This Row],[Column7]],"")</f>
        <v>غير شامل الورق</v>
      </c>
      <c r="V9" s="1"/>
      <c r="W9" s="313" t="str">
        <f>IFERROR(المطابع[[#This Row],[Column9]],"")</f>
        <v>ياسر دهب</v>
      </c>
      <c r="X9" s="314" t="str">
        <f>IFERROR(المطابع[[#This Row],[Column10]],"")</f>
        <v>فرخ</v>
      </c>
      <c r="Y9" s="315" t="str">
        <f>IFERROR(المطابع[[#This Row],[Column11]],"")</f>
        <v>300</v>
      </c>
      <c r="Z9" s="404" t="str">
        <f>IFERROR(المطابع[[#This Row],[Column12]],"")</f>
        <v>400</v>
      </c>
      <c r="AA9" s="1"/>
    </row>
    <row r="10" spans="1:27" ht="18.75" thickBot="1" x14ac:dyDescent="0.25">
      <c r="B10" s="409" t="s">
        <v>193</v>
      </c>
      <c r="C10" s="143">
        <v>5</v>
      </c>
      <c r="D10" s="406">
        <v>501</v>
      </c>
      <c r="E10" s="143">
        <v>100000</v>
      </c>
      <c r="F10" s="423" t="s">
        <v>298</v>
      </c>
      <c r="G10" s="411" t="s">
        <v>192</v>
      </c>
      <c r="I10" s="415" t="s">
        <v>219</v>
      </c>
      <c r="J10" s="1" t="s">
        <v>85</v>
      </c>
      <c r="K10" s="1" t="s">
        <v>289</v>
      </c>
      <c r="L10" s="416"/>
      <c r="N10" s="328" t="str">
        <f>IFERROR(المطابع[[#This Row],[Column2]],"")</f>
        <v>ارت اكسبريس</v>
      </c>
      <c r="O10" s="329">
        <f>IFERROR(المطابع[[#This Row],[Column3]],"")</f>
        <v>5</v>
      </c>
      <c r="P10" s="330">
        <f>IFERROR(المطابع[[#This Row],[Column4]],"")</f>
        <v>501</v>
      </c>
      <c r="Q10" s="331" t="b">
        <f>IF(AND('تسعير ديجيتال'!$V$23&gt;=P10,'تسعير ديجيتال'!$V$23&lt;=S10),TRUE,FALSE)</f>
        <v>0</v>
      </c>
      <c r="R10" s="331" t="b">
        <f>IF(AND('تسعير ديجيتال داخلي'!$V$23&gt;=P10,'تسعير ديجيتال داخلي'!$V$23&lt;=S10),TRUE,FALSE)</f>
        <v>0</v>
      </c>
      <c r="S10" s="329">
        <f>IFERROR(المطابع[[#This Row],[Column5]],"")</f>
        <v>100000</v>
      </c>
      <c r="T10" s="332" t="str">
        <f>IFERROR(المطابع[[#This Row],[Column6]],"")</f>
        <v>4.50</v>
      </c>
      <c r="U10" s="333" t="str">
        <f>IFERROR(المطابع[[#This Row],[Column7]],"")</f>
        <v>غير شامل الورق</v>
      </c>
      <c r="V10" s="1"/>
      <c r="W10" s="313" t="str">
        <f>IFERROR(المطابع[[#This Row],[Column9]],"")</f>
        <v>هاي جرافيك</v>
      </c>
      <c r="X10" s="314" t="str">
        <f>IFERROR(المطابع[[#This Row],[Column10]],"")</f>
        <v>ربع</v>
      </c>
      <c r="Y10" s="315" t="str">
        <f>IFERROR(المطابع[[#This Row],[Column11]],"")</f>
        <v>40</v>
      </c>
      <c r="Z10" s="312">
        <f>IFERROR(المطابع[[#This Row],[Column12]],"")</f>
        <v>0</v>
      </c>
      <c r="AA10" s="1"/>
    </row>
    <row r="11" spans="1:27" ht="18.75" thickBot="1" x14ac:dyDescent="0.25">
      <c r="B11" s="409" t="s">
        <v>193</v>
      </c>
      <c r="C11" s="143"/>
      <c r="D11" s="406"/>
      <c r="E11" s="143"/>
      <c r="F11" s="423"/>
      <c r="G11" s="411"/>
      <c r="I11" s="415" t="s">
        <v>216</v>
      </c>
      <c r="J11" s="1" t="s">
        <v>85</v>
      </c>
      <c r="K11" s="1" t="s">
        <v>272</v>
      </c>
      <c r="L11" s="416"/>
      <c r="N11" s="328" t="str">
        <f>IFERROR(المطابع[[#This Row],[Column2]],"")</f>
        <v>ارت اكسبريس</v>
      </c>
      <c r="O11" s="329">
        <f>IFERROR(المطابع[[#This Row],[Column3]],"")</f>
        <v>0</v>
      </c>
      <c r="P11" s="330">
        <f>IFERROR(المطابع[[#This Row],[Column4]],"")</f>
        <v>0</v>
      </c>
      <c r="Q11" s="331" t="b">
        <f>IF(AND('تسعير ديجيتال'!$V$23&gt;=P11,'تسعير ديجيتال'!$V$23&lt;=S11),TRUE,FALSE)</f>
        <v>0</v>
      </c>
      <c r="R11" s="331" t="b">
        <f>IF(AND('تسعير ديجيتال داخلي'!$V$23&gt;=P11,'تسعير ديجيتال داخلي'!$V$23&lt;=S11),TRUE,FALSE)</f>
        <v>1</v>
      </c>
      <c r="S11" s="329">
        <f>IFERROR(المطابع[[#This Row],[Column5]],"")</f>
        <v>0</v>
      </c>
      <c r="T11" s="332">
        <f>IFERROR(المطابع[[#This Row],[Column6]],"")</f>
        <v>0</v>
      </c>
      <c r="U11" s="333">
        <f>IFERROR(المطابع[[#This Row],[Column7]],"")</f>
        <v>0</v>
      </c>
      <c r="V11" s="1"/>
      <c r="W11" s="313" t="str">
        <f>IFERROR(المطابع[[#This Row],[Column9]],"")</f>
        <v>بيكسل برنت</v>
      </c>
      <c r="X11" s="314" t="str">
        <f>IFERROR(المطابع[[#This Row],[Column10]],"")</f>
        <v>ربع</v>
      </c>
      <c r="Y11" s="315" t="str">
        <f>IFERROR(المطابع[[#This Row],[Column11]],"")</f>
        <v>60</v>
      </c>
      <c r="Z11" s="405">
        <f>IFERROR(المطابع[[#This Row],[Column12]],"")</f>
        <v>0</v>
      </c>
      <c r="AA11" s="33"/>
    </row>
    <row r="12" spans="1:27" ht="18.75" thickBot="1" x14ac:dyDescent="0.25">
      <c r="B12" s="409" t="s">
        <v>193</v>
      </c>
      <c r="C12" s="143"/>
      <c r="D12" s="406"/>
      <c r="E12" s="143"/>
      <c r="F12" s="423"/>
      <c r="G12" s="411"/>
      <c r="I12" s="415" t="s">
        <v>276</v>
      </c>
      <c r="J12" s="1" t="s">
        <v>85</v>
      </c>
      <c r="K12" s="1" t="s">
        <v>309</v>
      </c>
      <c r="L12" s="416" t="s">
        <v>323</v>
      </c>
      <c r="N12" s="328" t="str">
        <f>IFERROR(المطابع[[#This Row],[Column2]],"")</f>
        <v>ارت اكسبريس</v>
      </c>
      <c r="O12" s="329">
        <f>IFERROR(المطابع[[#This Row],[Column3]],"")</f>
        <v>0</v>
      </c>
      <c r="P12" s="330">
        <f>IFERROR(المطابع[[#This Row],[Column4]],"")</f>
        <v>0</v>
      </c>
      <c r="Q12" s="331" t="b">
        <f>IF(AND('تسعير ديجيتال'!$V$23&gt;=P12,'تسعير ديجيتال'!$V$23&lt;=S12),TRUE,FALSE)</f>
        <v>0</v>
      </c>
      <c r="R12" s="331" t="b">
        <f>IF(AND('تسعير ديجيتال داخلي'!$V$23&gt;=P12,'تسعير ديجيتال داخلي'!$V$23&lt;=S12),TRUE,FALSE)</f>
        <v>1</v>
      </c>
      <c r="S12" s="329">
        <f>IFERROR(المطابع[[#This Row],[Column5]],"")</f>
        <v>0</v>
      </c>
      <c r="T12" s="332">
        <f>IFERROR(المطابع[[#This Row],[Column6]],"")</f>
        <v>0</v>
      </c>
      <c r="U12" s="333">
        <f>IFERROR(المطابع[[#This Row],[Column7]],"")</f>
        <v>0</v>
      </c>
      <c r="V12" s="1"/>
      <c r="W12" s="313" t="str">
        <f>IFERROR(المطابع[[#This Row],[Column9]],"")</f>
        <v>الشامي</v>
      </c>
      <c r="X12" s="314" t="str">
        <f>IFERROR(المطابع[[#This Row],[Column10]],"")</f>
        <v>ربع</v>
      </c>
      <c r="Y12" s="315" t="str">
        <f>IFERROR(المطابع[[#This Row],[Column11]],"")</f>
        <v>100</v>
      </c>
      <c r="Z12" s="404" t="str">
        <f>IFERROR(المطابع[[#This Row],[Column12]],"")</f>
        <v>120</v>
      </c>
      <c r="AA12" s="33"/>
    </row>
    <row r="13" spans="1:27" ht="18.75" thickBot="1" x14ac:dyDescent="0.25">
      <c r="B13" s="409" t="s">
        <v>193</v>
      </c>
      <c r="C13" s="143" t="s">
        <v>114</v>
      </c>
      <c r="D13" s="406" t="s">
        <v>114</v>
      </c>
      <c r="E13" s="143" t="s">
        <v>114</v>
      </c>
      <c r="F13" s="423" t="s">
        <v>114</v>
      </c>
      <c r="G13" s="411"/>
      <c r="I13" s="415"/>
      <c r="L13" s="416"/>
      <c r="N13" s="328" t="str">
        <f>IFERROR(المطابع[[#This Row],[Column2]],"")</f>
        <v>ارت اكسبريس</v>
      </c>
      <c r="O13" s="329" t="str">
        <f>IFERROR(المطابع[[#This Row],[Column3]],"")</f>
        <v>-</v>
      </c>
      <c r="P13" s="330" t="str">
        <f>IFERROR(المطابع[[#This Row],[Column4]],"")</f>
        <v>-</v>
      </c>
      <c r="Q13" s="331" t="b">
        <f>IF(AND('تسعير ديجيتال'!$V$23&gt;=P13,'تسعير ديجيتال'!$V$23&lt;=S13),TRUE,FALSE)</f>
        <v>0</v>
      </c>
      <c r="R13" s="331" t="b">
        <f>IF(AND('تسعير ديجيتال داخلي'!$V$23&gt;=P13,'تسعير ديجيتال داخلي'!$V$23&lt;=S13),TRUE,FALSE)</f>
        <v>0</v>
      </c>
      <c r="S13" s="329" t="str">
        <f>IFERROR(المطابع[[#This Row],[Column5]],"")</f>
        <v>-</v>
      </c>
      <c r="T13" s="332" t="str">
        <f>IFERROR(المطابع[[#This Row],[Column6]],"")</f>
        <v>-</v>
      </c>
      <c r="U13" s="333">
        <f>IFERROR(المطابع[[#This Row],[Column7]],"")</f>
        <v>0</v>
      </c>
      <c r="V13" s="1"/>
      <c r="W13" s="313">
        <f>IFERROR(المطابع[[#This Row],[Column9]],"")</f>
        <v>0</v>
      </c>
      <c r="X13" s="314">
        <f>IFERROR(المطابع[[#This Row],[Column10]],"")</f>
        <v>0</v>
      </c>
      <c r="Y13" s="315">
        <f>IFERROR(المطابع[[#This Row],[Column11]],"")</f>
        <v>0</v>
      </c>
      <c r="Z13" s="312">
        <f>IFERROR(المطابع[[#This Row],[Column12]],"")</f>
        <v>0</v>
      </c>
      <c r="AA13" s="33"/>
    </row>
    <row r="14" spans="1:27" ht="18.75" thickBot="1" x14ac:dyDescent="0.25">
      <c r="B14" s="409" t="s">
        <v>194</v>
      </c>
      <c r="C14" s="143">
        <v>1</v>
      </c>
      <c r="D14" s="406">
        <v>1</v>
      </c>
      <c r="E14" s="143">
        <v>10</v>
      </c>
      <c r="F14" s="423"/>
      <c r="G14" s="411"/>
      <c r="I14" s="415"/>
      <c r="L14" s="416"/>
      <c r="N14" s="328" t="str">
        <f>IFERROR(المطابع[[#This Row],[Column2]],"")</f>
        <v>نو تايم</v>
      </c>
      <c r="O14" s="329">
        <f>IFERROR(المطابع[[#This Row],[Column3]],"")</f>
        <v>1</v>
      </c>
      <c r="P14" s="330">
        <f>IFERROR(المطابع[[#This Row],[Column4]],"")</f>
        <v>1</v>
      </c>
      <c r="Q14" s="331" t="b">
        <f>IF(AND('تسعير ديجيتال'!$V$23&gt;=P14,'تسعير ديجيتال'!$V$23&lt;=S14),TRUE,FALSE)</f>
        <v>0</v>
      </c>
      <c r="R14" s="331" t="b">
        <f>IF(AND('تسعير ديجيتال داخلي'!$V$23&gt;=P14,'تسعير ديجيتال داخلي'!$V$23&lt;=S14),TRUE,FALSE)</f>
        <v>0</v>
      </c>
      <c r="S14" s="329">
        <f>IFERROR(المطابع[[#This Row],[Column5]],"")</f>
        <v>10</v>
      </c>
      <c r="T14" s="332">
        <f>IFERROR(المطابع[[#This Row],[Column6]],"")</f>
        <v>0</v>
      </c>
      <c r="U14" s="333">
        <f>IFERROR(المطابع[[#This Row],[Column7]],"")</f>
        <v>0</v>
      </c>
      <c r="V14" s="1"/>
      <c r="W14" s="313">
        <f>IFERROR(المطابع[[#This Row],[Column9]],"")</f>
        <v>0</v>
      </c>
      <c r="X14" s="314">
        <f>IFERROR(المطابع[[#This Row],[Column10]],"")</f>
        <v>0</v>
      </c>
      <c r="Y14" s="315">
        <f>IFERROR(المطابع[[#This Row],[Column11]],"")</f>
        <v>0</v>
      </c>
      <c r="Z14" s="312">
        <f>IFERROR(المطابع[[#This Row],[Column12]],"")</f>
        <v>0</v>
      </c>
      <c r="AA14" s="33"/>
    </row>
    <row r="15" spans="1:27" ht="18.75" thickBot="1" x14ac:dyDescent="0.25">
      <c r="B15" s="409" t="s">
        <v>194</v>
      </c>
      <c r="C15" s="143">
        <v>2</v>
      </c>
      <c r="D15" s="406">
        <v>11</v>
      </c>
      <c r="E15" s="143">
        <v>30</v>
      </c>
      <c r="F15" s="423"/>
      <c r="G15" s="411"/>
      <c r="I15" s="415"/>
      <c r="L15" s="416"/>
      <c r="N15" s="328" t="str">
        <f>IFERROR(المطابع[[#This Row],[Column2]],"")</f>
        <v>نو تايم</v>
      </c>
      <c r="O15" s="329">
        <f>IFERROR(المطابع[[#This Row],[Column3]],"")</f>
        <v>2</v>
      </c>
      <c r="P15" s="330">
        <f>IFERROR(المطابع[[#This Row],[Column4]],"")</f>
        <v>11</v>
      </c>
      <c r="Q15" s="331" t="b">
        <f>IF(AND('تسعير ديجيتال'!$V$23&gt;=P15,'تسعير ديجيتال'!$V$23&lt;=S15),TRUE,FALSE)</f>
        <v>0</v>
      </c>
      <c r="R15" s="331" t="b">
        <f>IF(AND('تسعير ديجيتال داخلي'!$V$23&gt;=P15,'تسعير ديجيتال داخلي'!$V$23&lt;=S15),TRUE,FALSE)</f>
        <v>0</v>
      </c>
      <c r="S15" s="329">
        <f>IFERROR(المطابع[[#This Row],[Column5]],"")</f>
        <v>30</v>
      </c>
      <c r="T15" s="332">
        <f>IFERROR(المطابع[[#This Row],[Column6]],"")</f>
        <v>0</v>
      </c>
      <c r="U15" s="333">
        <f>IFERROR(المطابع[[#This Row],[Column7]],"")</f>
        <v>0</v>
      </c>
      <c r="V15" s="1"/>
      <c r="W15" s="313">
        <f>IFERROR(المطابع[[#This Row],[Column9]],"")</f>
        <v>0</v>
      </c>
      <c r="X15" s="314">
        <f>IFERROR(المطابع[[#This Row],[Column10]],"")</f>
        <v>0</v>
      </c>
      <c r="Y15" s="315">
        <f>IFERROR(المطابع[[#This Row],[Column11]],"")</f>
        <v>0</v>
      </c>
      <c r="Z15" s="312">
        <f>IFERROR(المطابع[[#This Row],[Column12]],"")</f>
        <v>0</v>
      </c>
      <c r="AA15" s="33"/>
    </row>
    <row r="16" spans="1:27" ht="18.75" thickBot="1" x14ac:dyDescent="0.25">
      <c r="B16" s="409" t="s">
        <v>194</v>
      </c>
      <c r="C16" s="143">
        <v>3</v>
      </c>
      <c r="D16" s="406">
        <v>31</v>
      </c>
      <c r="E16" s="143">
        <v>60</v>
      </c>
      <c r="F16" s="423"/>
      <c r="G16" s="411"/>
      <c r="I16" s="415"/>
      <c r="L16" s="416"/>
      <c r="N16" s="328" t="str">
        <f>IFERROR(المطابع[[#This Row],[Column2]],"")</f>
        <v>نو تايم</v>
      </c>
      <c r="O16" s="329">
        <f>IFERROR(المطابع[[#This Row],[Column3]],"")</f>
        <v>3</v>
      </c>
      <c r="P16" s="330">
        <f>IFERROR(المطابع[[#This Row],[Column4]],"")</f>
        <v>31</v>
      </c>
      <c r="Q16" s="331" t="b">
        <f>IF(AND('تسعير ديجيتال'!$V$23&gt;=P16,'تسعير ديجيتال'!$V$23&lt;=S16),TRUE,FALSE)</f>
        <v>0</v>
      </c>
      <c r="R16" s="331" t="b">
        <f>IF(AND('تسعير ديجيتال داخلي'!$V$23&gt;=P16,'تسعير ديجيتال داخلي'!$V$23&lt;=S16),TRUE,FALSE)</f>
        <v>0</v>
      </c>
      <c r="S16" s="329">
        <f>IFERROR(المطابع[[#This Row],[Column5]],"")</f>
        <v>60</v>
      </c>
      <c r="T16" s="332">
        <f>IFERROR(المطابع[[#This Row],[Column6]],"")</f>
        <v>0</v>
      </c>
      <c r="U16" s="333">
        <f>IFERROR(المطابع[[#This Row],[Column7]],"")</f>
        <v>0</v>
      </c>
      <c r="V16" s="1"/>
      <c r="W16" s="313">
        <f>IFERROR(المطابع[[#This Row],[Column9]],"")</f>
        <v>0</v>
      </c>
      <c r="X16" s="314">
        <f>IFERROR(المطابع[[#This Row],[Column10]],"")</f>
        <v>0</v>
      </c>
      <c r="Y16" s="315">
        <f>IFERROR(المطابع[[#This Row],[Column11]],"")</f>
        <v>0</v>
      </c>
      <c r="Z16" s="312">
        <f>IFERROR(المطابع[[#This Row],[Column12]],"")</f>
        <v>0</v>
      </c>
      <c r="AA16" s="33"/>
    </row>
    <row r="17" spans="2:27" ht="18.75" thickBot="1" x14ac:dyDescent="0.25">
      <c r="B17" s="409" t="s">
        <v>194</v>
      </c>
      <c r="C17" s="143">
        <v>4</v>
      </c>
      <c r="D17" s="406">
        <v>61</v>
      </c>
      <c r="E17" s="143">
        <v>80</v>
      </c>
      <c r="F17" s="423"/>
      <c r="G17" s="411"/>
      <c r="I17" s="415"/>
      <c r="L17" s="416"/>
      <c r="N17" s="328" t="str">
        <f>IFERROR(المطابع[[#This Row],[Column2]],"")</f>
        <v>نو تايم</v>
      </c>
      <c r="O17" s="329">
        <f>IFERROR(المطابع[[#This Row],[Column3]],"")</f>
        <v>4</v>
      </c>
      <c r="P17" s="330">
        <f>IFERROR(المطابع[[#This Row],[Column4]],"")</f>
        <v>61</v>
      </c>
      <c r="Q17" s="331" t="b">
        <f>IF(AND('تسعير ديجيتال'!$V$23&gt;=P17,'تسعير ديجيتال'!$V$23&lt;=S17),TRUE,FALSE)</f>
        <v>0</v>
      </c>
      <c r="R17" s="331" t="b">
        <f>IF(AND('تسعير ديجيتال داخلي'!$V$23&gt;=P17,'تسعير ديجيتال داخلي'!$V$23&lt;=S17),TRUE,FALSE)</f>
        <v>0</v>
      </c>
      <c r="S17" s="329">
        <f>IFERROR(المطابع[[#This Row],[Column5]],"")</f>
        <v>80</v>
      </c>
      <c r="T17" s="332">
        <f>IFERROR(المطابع[[#This Row],[Column6]],"")</f>
        <v>0</v>
      </c>
      <c r="U17" s="333">
        <f>IFERROR(المطابع[[#This Row],[Column7]],"")</f>
        <v>0</v>
      </c>
      <c r="V17" s="1"/>
      <c r="W17" s="313">
        <f>IFERROR(المطابع[[#This Row],[Column9]],"")</f>
        <v>0</v>
      </c>
      <c r="X17" s="314">
        <f>IFERROR(المطابع[[#This Row],[Column10]],"")</f>
        <v>0</v>
      </c>
      <c r="Y17" s="315">
        <f>IFERROR(المطابع[[#This Row],[Column11]],"")</f>
        <v>0</v>
      </c>
      <c r="Z17" s="312">
        <f>IFERROR(المطابع[[#This Row],[Column12]],"")</f>
        <v>0</v>
      </c>
      <c r="AA17" s="33"/>
    </row>
    <row r="18" spans="2:27" ht="18.75" thickBot="1" x14ac:dyDescent="0.25">
      <c r="B18" s="409" t="s">
        <v>194</v>
      </c>
      <c r="C18" s="143">
        <v>5</v>
      </c>
      <c r="D18" s="406">
        <v>81</v>
      </c>
      <c r="E18" s="143">
        <v>200</v>
      </c>
      <c r="F18" s="423"/>
      <c r="G18" s="411"/>
      <c r="I18" s="415"/>
      <c r="L18" s="416"/>
      <c r="N18" s="328" t="str">
        <f>IFERROR(المطابع[[#This Row],[Column2]],"")</f>
        <v>نو تايم</v>
      </c>
      <c r="O18" s="329">
        <f>IFERROR(المطابع[[#This Row],[Column3]],"")</f>
        <v>5</v>
      </c>
      <c r="P18" s="330">
        <f>IFERROR(المطابع[[#This Row],[Column4]],"")</f>
        <v>81</v>
      </c>
      <c r="Q18" s="331" t="b">
        <f>IF(AND('تسعير ديجيتال'!$V$23&gt;=P18,'تسعير ديجيتال'!$V$23&lt;=S18),TRUE,FALSE)</f>
        <v>0</v>
      </c>
      <c r="R18" s="331" t="b">
        <f>IF(AND('تسعير ديجيتال داخلي'!$V$23&gt;=P18,'تسعير ديجيتال داخلي'!$V$23&lt;=S18),TRUE,FALSE)</f>
        <v>0</v>
      </c>
      <c r="S18" s="329">
        <f>IFERROR(المطابع[[#This Row],[Column5]],"")</f>
        <v>200</v>
      </c>
      <c r="T18" s="332">
        <f>IFERROR(المطابع[[#This Row],[Column6]],"")</f>
        <v>0</v>
      </c>
      <c r="U18" s="333">
        <f>IFERROR(المطابع[[#This Row],[Column7]],"")</f>
        <v>0</v>
      </c>
      <c r="V18" s="1"/>
      <c r="W18" s="313">
        <f>IFERROR(المطابع[[#This Row],[Column9]],"")</f>
        <v>0</v>
      </c>
      <c r="X18" s="314">
        <f>IFERROR(المطابع[[#This Row],[Column10]],"")</f>
        <v>0</v>
      </c>
      <c r="Y18" s="315">
        <f>IFERROR(المطابع[[#This Row],[Column11]],"")</f>
        <v>0</v>
      </c>
      <c r="Z18" s="312">
        <f>IFERROR(المطابع[[#This Row],[Column12]],"")</f>
        <v>0</v>
      </c>
      <c r="AA18" s="33"/>
    </row>
    <row r="19" spans="2:27" ht="18.75" thickBot="1" x14ac:dyDescent="0.25">
      <c r="B19" s="409" t="s">
        <v>194</v>
      </c>
      <c r="C19" s="143">
        <v>6</v>
      </c>
      <c r="D19" s="406">
        <v>201</v>
      </c>
      <c r="E19" s="143">
        <v>500</v>
      </c>
      <c r="F19" s="423"/>
      <c r="G19" s="411"/>
      <c r="I19" s="415"/>
      <c r="L19" s="416"/>
      <c r="N19" s="328" t="str">
        <f>IFERROR(المطابع[[#This Row],[Column2]],"")</f>
        <v>نو تايم</v>
      </c>
      <c r="O19" s="329">
        <f>IFERROR(المطابع[[#This Row],[Column3]],"")</f>
        <v>6</v>
      </c>
      <c r="P19" s="330">
        <f>IFERROR(المطابع[[#This Row],[Column4]],"")</f>
        <v>201</v>
      </c>
      <c r="Q19" s="331" t="b">
        <f>IF(AND('تسعير ديجيتال'!$V$23&gt;=P19,'تسعير ديجيتال'!$V$23&lt;=S19),TRUE,FALSE)</f>
        <v>1</v>
      </c>
      <c r="R19" s="331" t="b">
        <f>IF(AND('تسعير ديجيتال داخلي'!$V$23&gt;=P19,'تسعير ديجيتال داخلي'!$V$23&lt;=S19),TRUE,FALSE)</f>
        <v>0</v>
      </c>
      <c r="S19" s="329">
        <f>IFERROR(المطابع[[#This Row],[Column5]],"")</f>
        <v>500</v>
      </c>
      <c r="T19" s="332">
        <f>IFERROR(المطابع[[#This Row],[Column6]],"")</f>
        <v>0</v>
      </c>
      <c r="U19" s="333">
        <f>IFERROR(المطابع[[#This Row],[Column7]],"")</f>
        <v>0</v>
      </c>
      <c r="V19" s="1"/>
      <c r="W19" s="313">
        <f>IFERROR(المطابع[[#This Row],[Column9]],"")</f>
        <v>0</v>
      </c>
      <c r="X19" s="314">
        <f>IFERROR(المطابع[[#This Row],[Column10]],"")</f>
        <v>0</v>
      </c>
      <c r="Y19" s="315">
        <f>IFERROR(المطابع[[#This Row],[Column11]],"")</f>
        <v>0</v>
      </c>
      <c r="Z19" s="312">
        <f>IFERROR(المطابع[[#This Row],[Column12]],"")</f>
        <v>0</v>
      </c>
      <c r="AA19" s="33"/>
    </row>
    <row r="20" spans="2:27" ht="18.75" thickBot="1" x14ac:dyDescent="0.25">
      <c r="B20" s="409" t="s">
        <v>194</v>
      </c>
      <c r="C20" s="143">
        <v>7</v>
      </c>
      <c r="D20" s="406">
        <v>501</v>
      </c>
      <c r="E20" s="143">
        <v>10000</v>
      </c>
      <c r="F20" s="423"/>
      <c r="G20" s="411"/>
      <c r="I20" s="415"/>
      <c r="L20" s="416"/>
      <c r="N20" s="328" t="str">
        <f>IFERROR(المطابع[[#This Row],[Column2]],"")</f>
        <v>نو تايم</v>
      </c>
      <c r="O20" s="329">
        <f>IFERROR(المطابع[[#This Row],[Column3]],"")</f>
        <v>7</v>
      </c>
      <c r="P20" s="330">
        <f>IFERROR(المطابع[[#This Row],[Column4]],"")</f>
        <v>501</v>
      </c>
      <c r="Q20" s="331" t="b">
        <f>IF(AND('تسعير ديجيتال'!$V$23&gt;=P20,'تسعير ديجيتال'!$V$23&lt;=S20),TRUE,FALSE)</f>
        <v>0</v>
      </c>
      <c r="R20" s="331" t="b">
        <f>IF(AND('تسعير ديجيتال داخلي'!$V$23&gt;=P20,'تسعير ديجيتال داخلي'!$V$23&lt;=S20),TRUE,FALSE)</f>
        <v>0</v>
      </c>
      <c r="S20" s="329">
        <f>IFERROR(المطابع[[#This Row],[Column5]],"")</f>
        <v>10000</v>
      </c>
      <c r="T20" s="332">
        <f>IFERROR(المطابع[[#This Row],[Column6]],"")</f>
        <v>0</v>
      </c>
      <c r="U20" s="333">
        <f>IFERROR(المطابع[[#This Row],[Column7]],"")</f>
        <v>0</v>
      </c>
      <c r="V20" s="1"/>
      <c r="W20" s="313">
        <f>IFERROR(المطابع[[#This Row],[Column9]],"")</f>
        <v>0</v>
      </c>
      <c r="X20" s="314">
        <f>IFERROR(المطابع[[#This Row],[Column10]],"")</f>
        <v>0</v>
      </c>
      <c r="Y20" s="315">
        <f>IFERROR(المطابع[[#This Row],[Column11]],"")</f>
        <v>0</v>
      </c>
      <c r="Z20" s="312">
        <f>IFERROR(المطابع[[#This Row],[Column12]],"")</f>
        <v>0</v>
      </c>
      <c r="AA20" s="33"/>
    </row>
    <row r="21" spans="2:27" ht="18.75" thickBot="1" x14ac:dyDescent="0.25">
      <c r="B21" s="409" t="s">
        <v>194</v>
      </c>
      <c r="C21" s="143" t="s">
        <v>114</v>
      </c>
      <c r="D21" s="406" t="s">
        <v>114</v>
      </c>
      <c r="E21" s="143" t="s">
        <v>114</v>
      </c>
      <c r="F21" s="423" t="s">
        <v>114</v>
      </c>
      <c r="G21" s="411"/>
      <c r="I21" s="417"/>
      <c r="J21" s="418"/>
      <c r="K21" s="418"/>
      <c r="L21" s="419"/>
      <c r="N21" s="328" t="str">
        <f>IFERROR(المطابع[[#This Row],[Column2]],"")</f>
        <v>نو تايم</v>
      </c>
      <c r="O21" s="329" t="str">
        <f>IFERROR(المطابع[[#This Row],[Column3]],"")</f>
        <v>-</v>
      </c>
      <c r="P21" s="330" t="str">
        <f>IFERROR(المطابع[[#This Row],[Column4]],"")</f>
        <v>-</v>
      </c>
      <c r="Q21" s="331" t="b">
        <f>IF(AND('تسعير ديجيتال'!$V$23&gt;=P21,'تسعير ديجيتال'!$V$23&lt;=S21),TRUE,FALSE)</f>
        <v>0</v>
      </c>
      <c r="R21" s="331" t="b">
        <f>IF(AND('تسعير ديجيتال داخلي'!$V$23&gt;=P21,'تسعير ديجيتال داخلي'!$V$23&lt;=S21),TRUE,FALSE)</f>
        <v>0</v>
      </c>
      <c r="S21" s="329" t="str">
        <f>IFERROR(المطابع[[#This Row],[Column5]],"")</f>
        <v>-</v>
      </c>
      <c r="T21" s="332" t="str">
        <f>IFERROR(المطابع[[#This Row],[Column6]],"")</f>
        <v>-</v>
      </c>
      <c r="U21" s="333">
        <f>IFERROR(المطابع[[#This Row],[Column7]],"")</f>
        <v>0</v>
      </c>
      <c r="V21" s="1"/>
      <c r="W21" s="313">
        <f>IFERROR(المطابع[[#This Row],[Column9]],"")</f>
        <v>0</v>
      </c>
      <c r="X21" s="339">
        <f>IFERROR(المطابع[[#This Row],[Column10]],"")</f>
        <v>0</v>
      </c>
      <c r="Y21" s="315">
        <f>IFERROR(المطابع[[#This Row],[Column11]],"")</f>
        <v>0</v>
      </c>
      <c r="Z21" s="405">
        <f>IFERROR(المطابع[[#This Row],[Column12]],"")</f>
        <v>0</v>
      </c>
      <c r="AA21" s="33"/>
    </row>
    <row r="22" spans="2:27" ht="18.75" thickBot="1" x14ac:dyDescent="0.25">
      <c r="B22" s="409" t="s">
        <v>171</v>
      </c>
      <c r="C22" s="143">
        <v>1</v>
      </c>
      <c r="D22" s="406">
        <v>1</v>
      </c>
      <c r="E22" s="143">
        <v>10</v>
      </c>
      <c r="F22" s="423" t="s">
        <v>303</v>
      </c>
      <c r="G22" s="411" t="s">
        <v>192</v>
      </c>
      <c r="I22" s="414"/>
      <c r="N22" s="328" t="str">
        <f>IFERROR(المطابع[[#This Row],[Column2]],"")</f>
        <v>فاست برنت</v>
      </c>
      <c r="O22" s="329">
        <f>IFERROR(المطابع[[#This Row],[Column3]],"")</f>
        <v>1</v>
      </c>
      <c r="P22" s="330">
        <f>IFERROR(المطابع[[#This Row],[Column4]],"")</f>
        <v>1</v>
      </c>
      <c r="Q22" s="331" t="b">
        <f>IF(AND('تسعير ديجيتال'!$V$23&gt;=P22,'تسعير ديجيتال'!$V$23&lt;=S22),TRUE,FALSE)</f>
        <v>0</v>
      </c>
      <c r="R22" s="331" t="b">
        <f>IF(AND('تسعير ديجيتال داخلي'!$V$23&gt;=P22,'تسعير ديجيتال داخلي'!$V$23&lt;=S22),TRUE,FALSE)</f>
        <v>0</v>
      </c>
      <c r="S22" s="329">
        <f>IFERROR(المطابع[[#This Row],[Column5]],"")</f>
        <v>10</v>
      </c>
      <c r="T22" s="332" t="str">
        <f>IFERROR(المطابع[[#This Row],[Column6]],"")</f>
        <v>20</v>
      </c>
      <c r="U22" s="333" t="str">
        <f>IFERROR(المطابع[[#This Row],[Column7]],"")</f>
        <v>غير شامل الورق</v>
      </c>
      <c r="V22" s="1"/>
      <c r="AA22" s="33"/>
    </row>
    <row r="23" spans="2:27" ht="18.75" thickBot="1" x14ac:dyDescent="0.25">
      <c r="B23" s="409" t="s">
        <v>171</v>
      </c>
      <c r="C23" s="143">
        <v>2</v>
      </c>
      <c r="D23" s="406">
        <v>11</v>
      </c>
      <c r="E23" s="143">
        <v>30</v>
      </c>
      <c r="F23" s="423" t="s">
        <v>296</v>
      </c>
      <c r="G23" s="411" t="s">
        <v>192</v>
      </c>
      <c r="I23" s="414"/>
      <c r="N23" s="328" t="str">
        <f>IFERROR(المطابع[[#This Row],[Column2]],"")</f>
        <v>فاست برنت</v>
      </c>
      <c r="O23" s="329">
        <f>IFERROR(المطابع[[#This Row],[Column3]],"")</f>
        <v>2</v>
      </c>
      <c r="P23" s="330">
        <f>IFERROR(المطابع[[#This Row],[Column4]],"")</f>
        <v>11</v>
      </c>
      <c r="Q23" s="331" t="b">
        <f>IF(AND('تسعير ديجيتال'!$V$23&gt;=P23,'تسعير ديجيتال'!$V$23&lt;=S23),TRUE,FALSE)</f>
        <v>0</v>
      </c>
      <c r="R23" s="331" t="b">
        <f>IF(AND('تسعير ديجيتال داخلي'!$V$23&gt;=P23,'تسعير ديجيتال داخلي'!$V$23&lt;=S23),TRUE,FALSE)</f>
        <v>0</v>
      </c>
      <c r="S23" s="329">
        <f>IFERROR(المطابع[[#This Row],[Column5]],"")</f>
        <v>30</v>
      </c>
      <c r="T23" s="332" t="str">
        <f>IFERROR(المطابع[[#This Row],[Column6]],"")</f>
        <v>15</v>
      </c>
      <c r="U23" s="333" t="str">
        <f>IFERROR(المطابع[[#This Row],[Column7]],"")</f>
        <v>غير شامل الورق</v>
      </c>
      <c r="V23" s="1"/>
      <c r="AA23" s="33"/>
    </row>
    <row r="24" spans="2:27" ht="18.75" thickBot="1" x14ac:dyDescent="0.25">
      <c r="B24" s="409" t="s">
        <v>171</v>
      </c>
      <c r="C24" s="143">
        <v>3</v>
      </c>
      <c r="D24" s="406">
        <v>31</v>
      </c>
      <c r="E24" s="143">
        <v>50</v>
      </c>
      <c r="F24" s="423" t="s">
        <v>312</v>
      </c>
      <c r="G24" s="411" t="s">
        <v>192</v>
      </c>
      <c r="I24" s="414"/>
      <c r="N24" s="328" t="str">
        <f>IFERROR(المطابع[[#This Row],[Column2]],"")</f>
        <v>فاست برنت</v>
      </c>
      <c r="O24" s="329">
        <f>IFERROR(المطابع[[#This Row],[Column3]],"")</f>
        <v>3</v>
      </c>
      <c r="P24" s="330">
        <f>IFERROR(المطابع[[#This Row],[Column4]],"")</f>
        <v>31</v>
      </c>
      <c r="Q24" s="331" t="b">
        <f>IF(AND('تسعير ديجيتال'!$V$23&gt;=P24,'تسعير ديجيتال'!$V$23&lt;=S24),TRUE,FALSE)</f>
        <v>0</v>
      </c>
      <c r="R24" s="331" t="b">
        <f>IF(AND('تسعير ديجيتال داخلي'!$V$23&gt;=P24,'تسعير ديجيتال داخلي'!$V$23&lt;=S24),TRUE,FALSE)</f>
        <v>0</v>
      </c>
      <c r="S24" s="329">
        <f>IFERROR(المطابع[[#This Row],[Column5]],"")</f>
        <v>50</v>
      </c>
      <c r="T24" s="332" t="str">
        <f>IFERROR(المطابع[[#This Row],[Column6]],"")</f>
        <v>8</v>
      </c>
      <c r="U24" s="333" t="str">
        <f>IFERROR(المطابع[[#This Row],[Column7]],"")</f>
        <v>غير شامل الورق</v>
      </c>
      <c r="V24" s="1"/>
      <c r="AA24" s="1"/>
    </row>
    <row r="25" spans="2:27" ht="18.75" thickBot="1" x14ac:dyDescent="0.25">
      <c r="B25" s="409" t="s">
        <v>171</v>
      </c>
      <c r="C25" s="143">
        <v>4</v>
      </c>
      <c r="D25" s="406">
        <v>51</v>
      </c>
      <c r="E25" s="143">
        <v>110</v>
      </c>
      <c r="F25" s="423" t="s">
        <v>312</v>
      </c>
      <c r="G25" s="411" t="s">
        <v>192</v>
      </c>
      <c r="I25" s="414"/>
      <c r="N25" s="328" t="str">
        <f>IFERROR(المطابع[[#This Row],[Column2]],"")</f>
        <v>فاست برنت</v>
      </c>
      <c r="O25" s="329">
        <f>IFERROR(المطابع[[#This Row],[Column3]],"")</f>
        <v>4</v>
      </c>
      <c r="P25" s="330">
        <f>IFERROR(المطابع[[#This Row],[Column4]],"")</f>
        <v>51</v>
      </c>
      <c r="Q25" s="331" t="b">
        <f>IF(AND('تسعير ديجيتال'!$V$23&gt;=P25,'تسعير ديجيتال'!$V$23&lt;=S25),TRUE,FALSE)</f>
        <v>0</v>
      </c>
      <c r="R25" s="331" t="b">
        <f>IF(AND('تسعير ديجيتال داخلي'!$V$23&gt;=P25,'تسعير ديجيتال داخلي'!$V$23&lt;=S25),TRUE,FALSE)</f>
        <v>0</v>
      </c>
      <c r="S25" s="329">
        <f>IFERROR(المطابع[[#This Row],[Column5]],"")</f>
        <v>110</v>
      </c>
      <c r="T25" s="332" t="str">
        <f>IFERROR(المطابع[[#This Row],[Column6]],"")</f>
        <v>8</v>
      </c>
      <c r="U25" s="333" t="str">
        <f>IFERROR(المطابع[[#This Row],[Column7]],"")</f>
        <v>غير شامل الورق</v>
      </c>
      <c r="V25" s="1"/>
      <c r="AA25" s="1"/>
    </row>
    <row r="26" spans="2:27" ht="18.75" thickBot="1" x14ac:dyDescent="0.25">
      <c r="B26" s="409" t="s">
        <v>171</v>
      </c>
      <c r="C26" s="143">
        <v>5</v>
      </c>
      <c r="D26" s="406">
        <v>110</v>
      </c>
      <c r="E26" s="143">
        <v>1000</v>
      </c>
      <c r="F26" s="423" t="s">
        <v>312</v>
      </c>
      <c r="G26" s="411" t="s">
        <v>192</v>
      </c>
      <c r="I26" s="414"/>
      <c r="N26" s="328" t="str">
        <f>IFERROR(المطابع[[#This Row],[Column2]],"")</f>
        <v>فاست برنت</v>
      </c>
      <c r="O26" s="329">
        <f>IFERROR(المطابع[[#This Row],[Column3]],"")</f>
        <v>5</v>
      </c>
      <c r="P26" s="330">
        <f>IFERROR(المطابع[[#This Row],[Column4]],"")</f>
        <v>110</v>
      </c>
      <c r="Q26" s="331" t="b">
        <f>IF(AND('تسعير ديجيتال'!$V$23&gt;=P26,'تسعير ديجيتال'!$V$23&lt;=S26),TRUE,FALSE)</f>
        <v>1</v>
      </c>
      <c r="R26" s="331" t="b">
        <f>IF(AND('تسعير ديجيتال داخلي'!$V$23&gt;=P26,'تسعير ديجيتال داخلي'!$V$23&lt;=S26),TRUE,FALSE)</f>
        <v>0</v>
      </c>
      <c r="S26" s="329">
        <f>IFERROR(المطابع[[#This Row],[Column5]],"")</f>
        <v>1000</v>
      </c>
      <c r="T26" s="332" t="str">
        <f>IFERROR(المطابع[[#This Row],[Column6]],"")</f>
        <v>8</v>
      </c>
      <c r="U26" s="333" t="str">
        <f>IFERROR(المطابع[[#This Row],[Column7]],"")</f>
        <v>غير شامل الورق</v>
      </c>
      <c r="V26" s="1"/>
      <c r="AA26" s="1"/>
    </row>
    <row r="27" spans="2:27" ht="18.75" thickBot="1" x14ac:dyDescent="0.25">
      <c r="B27" s="409" t="s">
        <v>171</v>
      </c>
      <c r="C27" s="143">
        <v>6</v>
      </c>
      <c r="D27" s="406">
        <v>1001</v>
      </c>
      <c r="E27" s="143">
        <v>10000000</v>
      </c>
      <c r="F27" s="423" t="s">
        <v>312</v>
      </c>
      <c r="G27" s="411" t="s">
        <v>192</v>
      </c>
      <c r="I27" s="414"/>
      <c r="N27" s="328" t="str">
        <f>IFERROR(المطابع[[#This Row],[Column2]],"")</f>
        <v>فاست برنت</v>
      </c>
      <c r="O27" s="329">
        <f>IFERROR(المطابع[[#This Row],[Column3]],"")</f>
        <v>6</v>
      </c>
      <c r="P27" s="330">
        <f>IFERROR(المطابع[[#This Row],[Column4]],"")</f>
        <v>1001</v>
      </c>
      <c r="Q27" s="331" t="b">
        <f>IF(AND('تسعير ديجيتال'!$V$23&gt;=P27,'تسعير ديجيتال'!$V$23&lt;=S27),TRUE,FALSE)</f>
        <v>0</v>
      </c>
      <c r="R27" s="331" t="b">
        <f>IF(AND('تسعير ديجيتال داخلي'!$V$23&gt;=P27,'تسعير ديجيتال داخلي'!$V$23&lt;=S27),TRUE,FALSE)</f>
        <v>0</v>
      </c>
      <c r="S27" s="329">
        <f>IFERROR(المطابع[[#This Row],[Column5]],"")</f>
        <v>10000000</v>
      </c>
      <c r="T27" s="332" t="str">
        <f>IFERROR(المطابع[[#This Row],[Column6]],"")</f>
        <v>8</v>
      </c>
      <c r="U27" s="333" t="str">
        <f>IFERROR(المطابع[[#This Row],[Column7]],"")</f>
        <v>غير شامل الورق</v>
      </c>
      <c r="V27" s="1"/>
      <c r="AA27" s="1"/>
    </row>
    <row r="28" spans="2:27" ht="18.75" thickBot="1" x14ac:dyDescent="0.25">
      <c r="B28" s="409"/>
      <c r="C28" s="143"/>
      <c r="D28" s="406"/>
      <c r="E28" s="143"/>
      <c r="F28" s="423"/>
      <c r="G28" s="411"/>
      <c r="N28" s="328">
        <f>IFERROR(المطابع[[#This Row],[Column2]],"")</f>
        <v>0</v>
      </c>
      <c r="O28" s="329">
        <f>IFERROR(المطابع[[#This Row],[Column3]],"")</f>
        <v>0</v>
      </c>
      <c r="P28" s="330">
        <f>IFERROR(المطابع[[#This Row],[Column4]],"")</f>
        <v>0</v>
      </c>
      <c r="Q28" s="331" t="b">
        <f>IF(AND('تسعير ديجيتال'!$V$23&gt;=P28,'تسعير ديجيتال'!$V$23&lt;=S28),TRUE,FALSE)</f>
        <v>0</v>
      </c>
      <c r="R28" s="331" t="b">
        <f>IF(AND('تسعير ديجيتال داخلي'!$V$23&gt;=P28,'تسعير ديجيتال داخلي'!$V$23&lt;=S28),TRUE,FALSE)</f>
        <v>1</v>
      </c>
      <c r="S28" s="329">
        <f>IFERROR(المطابع[[#This Row],[Column5]],"")</f>
        <v>0</v>
      </c>
      <c r="T28" s="403">
        <f>IFERROR(المطابع[[#This Row],[Column6]],"")</f>
        <v>0</v>
      </c>
      <c r="U28" s="333">
        <f>IFERROR(المطابع[[#This Row],[Column7]],"")</f>
        <v>0</v>
      </c>
      <c r="V28" s="1"/>
      <c r="AA28" s="1"/>
    </row>
    <row r="29" spans="2:27" ht="18.75" thickBot="1" x14ac:dyDescent="0.25">
      <c r="B29" s="409"/>
      <c r="C29" s="143"/>
      <c r="D29" s="406"/>
      <c r="E29" s="143"/>
      <c r="F29" s="424"/>
      <c r="G29" s="411"/>
      <c r="N29" s="328">
        <f>IFERROR(المطابع[[#This Row],[Column2]],"")</f>
        <v>0</v>
      </c>
      <c r="O29" s="329">
        <f>IFERROR(المطابع[[#This Row],[Column3]],"")</f>
        <v>0</v>
      </c>
      <c r="P29" s="330">
        <f>IFERROR(المطابع[[#This Row],[Column4]],"")</f>
        <v>0</v>
      </c>
      <c r="Q29" s="331" t="b">
        <f>IF(AND('تسعير ديجيتال'!$V$23&gt;=P29,'تسعير ديجيتال'!$V$23&lt;=S29),TRUE,FALSE)</f>
        <v>0</v>
      </c>
      <c r="R29" s="331" t="b">
        <f>IF(AND('تسعير ديجيتال داخلي'!$V$23&gt;=P29,'تسعير ديجيتال داخلي'!$V$23&lt;=S29),TRUE,FALSE)</f>
        <v>1</v>
      </c>
      <c r="S29" s="329">
        <f>IFERROR(المطابع[[#This Row],[Column5]],"")</f>
        <v>0</v>
      </c>
      <c r="T29" s="332">
        <f>IFERROR(المطابع[[#This Row],[Column6]],"")</f>
        <v>0</v>
      </c>
      <c r="U29" s="333">
        <f>IFERROR(المطابع[[#This Row],[Column7]],"")</f>
        <v>0</v>
      </c>
      <c r="V29" s="1"/>
      <c r="AA29" s="1"/>
    </row>
    <row r="30" spans="2:27" ht="18.75" thickBot="1" x14ac:dyDescent="0.25">
      <c r="B30" s="409"/>
      <c r="C30" s="143"/>
      <c r="D30" s="406"/>
      <c r="E30" s="143"/>
      <c r="F30" s="423"/>
      <c r="G30" s="411"/>
      <c r="N30" s="328">
        <f>IFERROR(المطابع[[#This Row],[Column2]],"")</f>
        <v>0</v>
      </c>
      <c r="O30" s="329">
        <f>IFERROR(المطابع[[#This Row],[Column3]],"")</f>
        <v>0</v>
      </c>
      <c r="P30" s="330">
        <f>IFERROR(المطابع[[#This Row],[Column4]],"")</f>
        <v>0</v>
      </c>
      <c r="Q30" s="331" t="b">
        <f>IF(AND('تسعير ديجيتال'!$V$23&gt;=P30,'تسعير ديجيتال'!$V$23&lt;=S30),TRUE,FALSE)</f>
        <v>0</v>
      </c>
      <c r="R30" s="331" t="b">
        <f>IF(AND('تسعير ديجيتال داخلي'!$V$23&gt;=P30,'تسعير ديجيتال داخلي'!$V$23&lt;=S30),TRUE,FALSE)</f>
        <v>1</v>
      </c>
      <c r="S30" s="329">
        <f>IFERROR(المطابع[[#This Row],[Column5]],"")</f>
        <v>0</v>
      </c>
      <c r="T30" s="332">
        <f>IFERROR(المطابع[[#This Row],[Column6]],"")</f>
        <v>0</v>
      </c>
      <c r="U30" s="333">
        <f>IFERROR(المطابع[[#This Row],[Column7]],"")</f>
        <v>0</v>
      </c>
      <c r="V30" s="1"/>
      <c r="AA30" s="1"/>
    </row>
    <row r="31" spans="2:27" ht="18.75" thickBot="1" x14ac:dyDescent="0.25">
      <c r="B31" s="409"/>
      <c r="C31" s="143"/>
      <c r="D31" s="406"/>
      <c r="E31" s="143"/>
      <c r="F31" s="423"/>
      <c r="G31" s="411"/>
      <c r="N31" s="328">
        <f>IFERROR(المطابع[[#This Row],[Column2]],"")</f>
        <v>0</v>
      </c>
      <c r="O31" s="329">
        <f>IFERROR(المطابع[[#This Row],[Column3]],"")</f>
        <v>0</v>
      </c>
      <c r="P31" s="330">
        <f>IFERROR(المطابع[[#This Row],[Column4]],"")</f>
        <v>0</v>
      </c>
      <c r="Q31" s="331" t="b">
        <f>IF(AND('تسعير ديجيتال'!$V$23&gt;=P31,'تسعير ديجيتال'!$V$23&lt;=S31),TRUE,FALSE)</f>
        <v>0</v>
      </c>
      <c r="R31" s="331" t="b">
        <f>IF(AND('تسعير ديجيتال داخلي'!$V$23&gt;=P31,'تسعير ديجيتال داخلي'!$V$23&lt;=S31),TRUE,FALSE)</f>
        <v>1</v>
      </c>
      <c r="S31" s="329">
        <f>IFERROR(المطابع[[#This Row],[Column5]],"")</f>
        <v>0</v>
      </c>
      <c r="T31" s="332">
        <f>IFERROR(المطابع[[#This Row],[Column6]],"")</f>
        <v>0</v>
      </c>
      <c r="U31" s="333">
        <f>IFERROR(المطابع[[#This Row],[Column7]],"")</f>
        <v>0</v>
      </c>
      <c r="V31" s="1"/>
      <c r="AA31" s="1"/>
    </row>
    <row r="32" spans="2:27" ht="18.75" thickBot="1" x14ac:dyDescent="0.25">
      <c r="B32" s="409"/>
      <c r="C32" s="143"/>
      <c r="D32" s="406"/>
      <c r="E32" s="143"/>
      <c r="F32" s="423"/>
      <c r="G32" s="411"/>
      <c r="N32" s="328">
        <f>IFERROR(المطابع[[#This Row],[Column2]],"")</f>
        <v>0</v>
      </c>
      <c r="O32" s="329">
        <f>IFERROR(المطابع[[#This Row],[Column3]],"")</f>
        <v>0</v>
      </c>
      <c r="P32" s="330">
        <f>IFERROR(المطابع[[#This Row],[Column4]],"")</f>
        <v>0</v>
      </c>
      <c r="Q32" s="331" t="b">
        <f>IF(AND('تسعير ديجيتال'!$V$23&gt;=P32,'تسعير ديجيتال'!$V$23&lt;=S32),TRUE,FALSE)</f>
        <v>0</v>
      </c>
      <c r="R32" s="331" t="b">
        <f>IF(AND('تسعير ديجيتال داخلي'!$V$23&gt;=P32,'تسعير ديجيتال داخلي'!$V$23&lt;=S32),TRUE,FALSE)</f>
        <v>1</v>
      </c>
      <c r="S32" s="329">
        <f>IFERROR(المطابع[[#This Row],[Column5]],"")</f>
        <v>0</v>
      </c>
      <c r="T32" s="332">
        <f>IFERROR(المطابع[[#This Row],[Column6]],"")</f>
        <v>0</v>
      </c>
      <c r="U32" s="333">
        <f>IFERROR(المطابع[[#This Row],[Column7]],"")</f>
        <v>0</v>
      </c>
      <c r="V32" s="1"/>
      <c r="AA32" s="1"/>
    </row>
    <row r="33" spans="2:27" ht="18.75" thickBot="1" x14ac:dyDescent="0.25">
      <c r="B33" s="409"/>
      <c r="C33" s="143"/>
      <c r="D33" s="406"/>
      <c r="E33" s="143"/>
      <c r="F33" s="423"/>
      <c r="G33" s="411"/>
      <c r="N33" s="328">
        <f>IFERROR(المطابع[[#This Row],[Column2]],"")</f>
        <v>0</v>
      </c>
      <c r="O33" s="329">
        <f>IFERROR(المطابع[[#This Row],[Column3]],"")</f>
        <v>0</v>
      </c>
      <c r="P33" s="330">
        <f>IFERROR(المطابع[[#This Row],[Column4]],"")</f>
        <v>0</v>
      </c>
      <c r="Q33" s="331" t="b">
        <f>IF(AND('تسعير ديجيتال'!$V$23&gt;=P33,'تسعير ديجيتال'!$V$23&lt;=S33),TRUE,FALSE)</f>
        <v>0</v>
      </c>
      <c r="R33" s="331" t="b">
        <f>IF(AND('تسعير ديجيتال داخلي'!$V$23&gt;=P33,'تسعير ديجيتال داخلي'!$V$23&lt;=S33),TRUE,FALSE)</f>
        <v>1</v>
      </c>
      <c r="S33" s="329">
        <f>IFERROR(المطابع[[#This Row],[Column5]],"")</f>
        <v>0</v>
      </c>
      <c r="T33" s="332">
        <f>IFERROR(المطابع[[#This Row],[Column6]],"")</f>
        <v>0</v>
      </c>
      <c r="U33" s="333">
        <f>IFERROR(المطابع[[#This Row],[Column7]],"")</f>
        <v>0</v>
      </c>
      <c r="V33" s="1"/>
      <c r="AA33" s="1"/>
    </row>
    <row r="34" spans="2:27" ht="18.75" thickBot="1" x14ac:dyDescent="0.25">
      <c r="B34" s="409"/>
      <c r="C34" s="143"/>
      <c r="D34" s="406"/>
      <c r="E34" s="143"/>
      <c r="F34" s="423"/>
      <c r="G34" s="411"/>
      <c r="N34" s="328">
        <f>IFERROR(المطابع[[#This Row],[Column2]],"")</f>
        <v>0</v>
      </c>
      <c r="O34" s="329">
        <f>IFERROR(المطابع[[#This Row],[Column3]],"")</f>
        <v>0</v>
      </c>
      <c r="P34" s="330">
        <f>IFERROR(المطابع[[#This Row],[Column4]],"")</f>
        <v>0</v>
      </c>
      <c r="Q34" s="331" t="b">
        <f>IF(AND('تسعير ديجيتال'!$V$23&gt;=P34,'تسعير ديجيتال'!$V$23&lt;=S34),TRUE,FALSE)</f>
        <v>0</v>
      </c>
      <c r="R34" s="331" t="b">
        <f>IF(AND('تسعير ديجيتال داخلي'!$V$23&gt;=P34,'تسعير ديجيتال داخلي'!$V$23&lt;=S34),TRUE,FALSE)</f>
        <v>1</v>
      </c>
      <c r="S34" s="329">
        <f>IFERROR(المطابع[[#This Row],[Column5]],"")</f>
        <v>0</v>
      </c>
      <c r="T34" s="332">
        <f>IFERROR(المطابع[[#This Row],[Column6]],"")</f>
        <v>0</v>
      </c>
      <c r="U34" s="333">
        <f>IFERROR(المطابع[[#This Row],[Column7]],"")</f>
        <v>0</v>
      </c>
      <c r="V34" s="1"/>
      <c r="AA34" s="1"/>
    </row>
    <row r="35" spans="2:27" ht="18.75" thickBot="1" x14ac:dyDescent="0.25">
      <c r="B35" s="409"/>
      <c r="C35" s="143"/>
      <c r="D35" s="406"/>
      <c r="E35" s="143"/>
      <c r="F35" s="423"/>
      <c r="G35" s="411"/>
      <c r="N35" s="328">
        <f>IFERROR(المطابع[[#This Row],[Column2]],"")</f>
        <v>0</v>
      </c>
      <c r="O35" s="329">
        <f>IFERROR(المطابع[[#This Row],[Column3]],"")</f>
        <v>0</v>
      </c>
      <c r="P35" s="330">
        <f>IFERROR(المطابع[[#This Row],[Column4]],"")</f>
        <v>0</v>
      </c>
      <c r="Q35" s="331" t="b">
        <f>IF(AND('تسعير ديجيتال'!$V$23&gt;=P35,'تسعير ديجيتال'!$V$23&lt;=S35),TRUE,FALSE)</f>
        <v>0</v>
      </c>
      <c r="R35" s="331" t="b">
        <f>IF(AND('تسعير ديجيتال داخلي'!$V$23&gt;=P35,'تسعير ديجيتال داخلي'!$V$23&lt;=S35),TRUE,FALSE)</f>
        <v>1</v>
      </c>
      <c r="S35" s="329">
        <f>IFERROR(المطابع[[#This Row],[Column5]],"")</f>
        <v>0</v>
      </c>
      <c r="T35" s="332">
        <f>IFERROR(المطابع[[#This Row],[Column6]],"")</f>
        <v>0</v>
      </c>
      <c r="U35" s="333">
        <f>IFERROR(المطابع[[#This Row],[Column7]],"")</f>
        <v>0</v>
      </c>
      <c r="V35" s="1"/>
      <c r="AA35" s="1"/>
    </row>
    <row r="36" spans="2:27" ht="18.75" thickBot="1" x14ac:dyDescent="0.25">
      <c r="B36" s="409"/>
      <c r="C36" s="143"/>
      <c r="D36" s="406"/>
      <c r="E36" s="143"/>
      <c r="F36" s="423"/>
      <c r="G36" s="411"/>
      <c r="N36" s="328">
        <f>IFERROR(المطابع[[#This Row],[Column2]],"")</f>
        <v>0</v>
      </c>
      <c r="O36" s="329">
        <f>IFERROR(المطابع[[#This Row],[Column3]],"")</f>
        <v>0</v>
      </c>
      <c r="P36" s="330">
        <f>IFERROR(المطابع[[#This Row],[Column4]],"")</f>
        <v>0</v>
      </c>
      <c r="Q36" s="331" t="b">
        <f>IF(AND('تسعير ديجيتال'!$V$23&gt;=P36,'تسعير ديجيتال'!$V$23&lt;=S36),TRUE,FALSE)</f>
        <v>0</v>
      </c>
      <c r="R36" s="331" t="b">
        <f>IF(AND('تسعير ديجيتال داخلي'!$V$23&gt;=P36,'تسعير ديجيتال داخلي'!$V$23&lt;=S36),TRUE,FALSE)</f>
        <v>1</v>
      </c>
      <c r="S36" s="329">
        <f>IFERROR(المطابع[[#This Row],[Column5]],"")</f>
        <v>0</v>
      </c>
      <c r="T36" s="403">
        <f>IFERROR(المطابع[[#This Row],[Column6]],"")</f>
        <v>0</v>
      </c>
      <c r="U36" s="333">
        <f>IFERROR(المطابع[[#This Row],[Column7]],"")</f>
        <v>0</v>
      </c>
      <c r="V36" s="1"/>
      <c r="AA36" s="1"/>
    </row>
    <row r="37" spans="2:27" ht="18.75" thickBot="1" x14ac:dyDescent="0.25">
      <c r="B37" s="409"/>
      <c r="C37" s="143"/>
      <c r="D37" s="406"/>
      <c r="E37" s="143"/>
      <c r="F37" s="424"/>
      <c r="G37" s="411"/>
      <c r="N37" s="328">
        <f>IFERROR(المطابع[[#This Row],[Column2]],"")</f>
        <v>0</v>
      </c>
      <c r="O37" s="329">
        <f>IFERROR(المطابع[[#This Row],[Column3]],"")</f>
        <v>0</v>
      </c>
      <c r="P37" s="330">
        <f>IFERROR(المطابع[[#This Row],[Column4]],"")</f>
        <v>0</v>
      </c>
      <c r="Q37" s="331" t="b">
        <f>IF(AND('تسعير ديجيتال'!$V$23&gt;=P37,'تسعير ديجيتال'!$V$23&lt;=S37),TRUE,FALSE)</f>
        <v>0</v>
      </c>
      <c r="R37" s="331" t="b">
        <f>IF(AND('تسعير ديجيتال داخلي'!$V$23&gt;=P37,'تسعير ديجيتال داخلي'!$V$23&lt;=S37),TRUE,FALSE)</f>
        <v>1</v>
      </c>
      <c r="S37" s="329">
        <f>IFERROR(المطابع[[#This Row],[Column5]],"")</f>
        <v>0</v>
      </c>
      <c r="T37" s="332">
        <f>IFERROR(المطابع[[#This Row],[Column6]],"")</f>
        <v>0</v>
      </c>
      <c r="U37" s="333">
        <f>IFERROR(المطابع[[#This Row],[Column7]],"")</f>
        <v>0</v>
      </c>
      <c r="V37" s="1"/>
      <c r="AA37" s="1"/>
    </row>
    <row r="38" spans="2:27" ht="18.75" thickBot="1" x14ac:dyDescent="0.25">
      <c r="B38" s="409"/>
      <c r="C38" s="143"/>
      <c r="D38" s="406"/>
      <c r="E38" s="143"/>
      <c r="F38" s="423"/>
      <c r="G38" s="411"/>
      <c r="N38" s="328">
        <f>IFERROR(المطابع[[#This Row],[Column2]],"")</f>
        <v>0</v>
      </c>
      <c r="O38" s="329">
        <f>IFERROR(المطابع[[#This Row],[Column3]],"")</f>
        <v>0</v>
      </c>
      <c r="P38" s="330">
        <f>IFERROR(المطابع[[#This Row],[Column4]],"")</f>
        <v>0</v>
      </c>
      <c r="Q38" s="331" t="b">
        <f>IF(AND('تسعير ديجيتال'!$V$23&gt;=P38,'تسعير ديجيتال'!$V$23&lt;=S38),TRUE,FALSE)</f>
        <v>0</v>
      </c>
      <c r="R38" s="331" t="b">
        <f>IF(AND('تسعير ديجيتال داخلي'!$V$23&gt;=P38,'تسعير ديجيتال داخلي'!$V$23&lt;=S38),TRUE,FALSE)</f>
        <v>1</v>
      </c>
      <c r="S38" s="329">
        <f>IFERROR(المطابع[[#This Row],[Column5]],"")</f>
        <v>0</v>
      </c>
      <c r="T38" s="332">
        <f>IFERROR(المطابع[[#This Row],[Column6]],"")</f>
        <v>0</v>
      </c>
      <c r="U38" s="333">
        <f>IFERROR(المطابع[[#This Row],[Column7]],"")</f>
        <v>0</v>
      </c>
      <c r="V38" s="1"/>
      <c r="AA38" s="1"/>
    </row>
    <row r="39" spans="2:27" ht="18.75" thickBot="1" x14ac:dyDescent="0.25">
      <c r="B39" s="409"/>
      <c r="C39" s="143"/>
      <c r="D39" s="406"/>
      <c r="E39" s="143"/>
      <c r="F39" s="423"/>
      <c r="G39" s="411"/>
      <c r="N39" s="328">
        <f>IFERROR(المطابع[[#This Row],[Column2]],"")</f>
        <v>0</v>
      </c>
      <c r="O39" s="329">
        <f>IFERROR(المطابع[[#This Row],[Column3]],"")</f>
        <v>0</v>
      </c>
      <c r="P39" s="330">
        <f>IFERROR(المطابع[[#This Row],[Column4]],"")</f>
        <v>0</v>
      </c>
      <c r="Q39" s="331" t="b">
        <f>IF(AND('تسعير ديجيتال'!$V$23&gt;=P39,'تسعير ديجيتال'!$V$23&lt;=S39),TRUE,FALSE)</f>
        <v>0</v>
      </c>
      <c r="R39" s="331" t="b">
        <f>IF(AND('تسعير ديجيتال داخلي'!$V$23&gt;=P39,'تسعير ديجيتال داخلي'!$V$23&lt;=S39),TRUE,FALSE)</f>
        <v>1</v>
      </c>
      <c r="S39" s="329">
        <f>IFERROR(المطابع[[#This Row],[Column5]],"")</f>
        <v>0</v>
      </c>
      <c r="T39" s="332">
        <f>IFERROR(المطابع[[#This Row],[Column6]],"")</f>
        <v>0</v>
      </c>
      <c r="U39" s="333">
        <f>IFERROR(المطابع[[#This Row],[Column7]],"")</f>
        <v>0</v>
      </c>
      <c r="V39" s="1"/>
      <c r="AA39" s="1"/>
    </row>
    <row r="40" spans="2:27" ht="18.75" thickBot="1" x14ac:dyDescent="0.25">
      <c r="B40" s="409"/>
      <c r="C40" s="143"/>
      <c r="D40" s="406"/>
      <c r="E40" s="143"/>
      <c r="F40" s="423"/>
      <c r="G40" s="411"/>
      <c r="N40" s="328">
        <f>IFERROR(المطابع[[#This Row],[Column2]],"")</f>
        <v>0</v>
      </c>
      <c r="O40" s="329">
        <f>IFERROR(المطابع[[#This Row],[Column3]],"")</f>
        <v>0</v>
      </c>
      <c r="P40" s="330">
        <f>IFERROR(المطابع[[#This Row],[Column4]],"")</f>
        <v>0</v>
      </c>
      <c r="Q40" s="331" t="b">
        <f>IF(AND('تسعير ديجيتال'!$V$23&gt;=P40,'تسعير ديجيتال'!$V$23&lt;=S40),TRUE,FALSE)</f>
        <v>0</v>
      </c>
      <c r="R40" s="331" t="b">
        <f>IF(AND('تسعير ديجيتال داخلي'!$V$23&gt;=P40,'تسعير ديجيتال داخلي'!$V$23&lt;=S40),TRUE,FALSE)</f>
        <v>1</v>
      </c>
      <c r="S40" s="329">
        <f>IFERROR(المطابع[[#This Row],[Column5]],"")</f>
        <v>0</v>
      </c>
      <c r="T40" s="332">
        <f>IFERROR(المطابع[[#This Row],[Column6]],"")</f>
        <v>0</v>
      </c>
      <c r="U40" s="333">
        <f>IFERROR(المطابع[[#This Row],[Column7]],"")</f>
        <v>0</v>
      </c>
      <c r="V40" s="1"/>
      <c r="AA40" s="1"/>
    </row>
    <row r="41" spans="2:27" ht="18.75" thickBot="1" x14ac:dyDescent="0.25">
      <c r="B41" s="409"/>
      <c r="C41" s="143"/>
      <c r="D41" s="406"/>
      <c r="E41" s="143"/>
      <c r="F41" s="423"/>
      <c r="G41" s="411"/>
      <c r="N41" s="328">
        <f>IFERROR(المطابع[[#This Row],[Column2]],"")</f>
        <v>0</v>
      </c>
      <c r="O41" s="329">
        <f>IFERROR(المطابع[[#This Row],[Column3]],"")</f>
        <v>0</v>
      </c>
      <c r="P41" s="330">
        <f>IFERROR(المطابع[[#This Row],[Column4]],"")</f>
        <v>0</v>
      </c>
      <c r="Q41" s="331" t="b">
        <f>IF(AND('تسعير ديجيتال'!$V$23&gt;=P41,'تسعير ديجيتال'!$V$23&lt;=S41),TRUE,FALSE)</f>
        <v>0</v>
      </c>
      <c r="R41" s="331" t="b">
        <f>IF(AND('تسعير ديجيتال داخلي'!$V$23&gt;=P41,'تسعير ديجيتال داخلي'!$V$23&lt;=S41),TRUE,FALSE)</f>
        <v>1</v>
      </c>
      <c r="S41" s="329">
        <f>IFERROR(المطابع[[#This Row],[Column5]],"")</f>
        <v>0</v>
      </c>
      <c r="T41" s="332">
        <f>IFERROR(المطابع[[#This Row],[Column6]],"")</f>
        <v>0</v>
      </c>
      <c r="U41" s="333">
        <f>IFERROR(المطابع[[#This Row],[Column7]],"")</f>
        <v>0</v>
      </c>
      <c r="V41" s="1"/>
      <c r="AA41" s="1"/>
    </row>
    <row r="42" spans="2:27" ht="18.75" thickBot="1" x14ac:dyDescent="0.25">
      <c r="B42" s="409"/>
      <c r="C42" s="143"/>
      <c r="D42" s="406"/>
      <c r="E42" s="143"/>
      <c r="F42" s="423"/>
      <c r="G42" s="411"/>
      <c r="N42" s="328">
        <f>IFERROR(المطابع[[#This Row],[Column2]],"")</f>
        <v>0</v>
      </c>
      <c r="O42" s="329">
        <f>IFERROR(المطابع[[#This Row],[Column3]],"")</f>
        <v>0</v>
      </c>
      <c r="P42" s="330">
        <f>IFERROR(المطابع[[#This Row],[Column4]],"")</f>
        <v>0</v>
      </c>
      <c r="Q42" s="331" t="b">
        <f>IF(AND('تسعير ديجيتال'!$V$23&gt;=P42,'تسعير ديجيتال'!$V$23&lt;=S42),TRUE,FALSE)</f>
        <v>0</v>
      </c>
      <c r="R42" s="331" t="b">
        <f>IF(AND('تسعير ديجيتال داخلي'!$V$23&gt;=P42,'تسعير ديجيتال داخلي'!$V$23&lt;=S42),TRUE,FALSE)</f>
        <v>1</v>
      </c>
      <c r="S42" s="329">
        <f>IFERROR(المطابع[[#This Row],[Column5]],"")</f>
        <v>0</v>
      </c>
      <c r="T42" s="332">
        <f>IFERROR(المطابع[[#This Row],[Column6]],"")</f>
        <v>0</v>
      </c>
      <c r="U42" s="333">
        <f>IFERROR(المطابع[[#This Row],[Column7]],"")</f>
        <v>0</v>
      </c>
      <c r="V42" s="1"/>
      <c r="AA42" s="1"/>
    </row>
    <row r="43" spans="2:27" ht="18.75" thickBot="1" x14ac:dyDescent="0.25">
      <c r="B43" s="409"/>
      <c r="C43" s="143"/>
      <c r="D43" s="406"/>
      <c r="E43" s="143"/>
      <c r="F43" s="423"/>
      <c r="G43" s="411"/>
      <c r="N43" s="328">
        <f>IFERROR(المطابع[[#This Row],[Column2]],"")</f>
        <v>0</v>
      </c>
      <c r="O43" s="329">
        <f>IFERROR(المطابع[[#This Row],[Column3]],"")</f>
        <v>0</v>
      </c>
      <c r="P43" s="330">
        <f>IFERROR(المطابع[[#This Row],[Column4]],"")</f>
        <v>0</v>
      </c>
      <c r="Q43" s="331" t="b">
        <f>IF(AND('تسعير ديجيتال'!$V$23&gt;=P43,'تسعير ديجيتال'!$V$23&lt;=S43),TRUE,FALSE)</f>
        <v>0</v>
      </c>
      <c r="R43" s="331" t="b">
        <f>IF(AND('تسعير ديجيتال داخلي'!$V$23&gt;=P43,'تسعير ديجيتال داخلي'!$V$23&lt;=S43),TRUE,FALSE)</f>
        <v>1</v>
      </c>
      <c r="S43" s="329">
        <f>IFERROR(المطابع[[#This Row],[Column5]],"")</f>
        <v>0</v>
      </c>
      <c r="T43" s="332">
        <f>IFERROR(المطابع[[#This Row],[Column6]],"")</f>
        <v>0</v>
      </c>
      <c r="U43" s="333">
        <f>IFERROR(المطابع[[#This Row],[Column7]],"")</f>
        <v>0</v>
      </c>
      <c r="V43" s="1"/>
      <c r="AA43" s="1"/>
    </row>
    <row r="44" spans="2:27" ht="18.75" thickBot="1" x14ac:dyDescent="0.25">
      <c r="B44" s="409"/>
      <c r="C44" s="143"/>
      <c r="D44" s="406"/>
      <c r="E44" s="143"/>
      <c r="F44" s="423"/>
      <c r="G44" s="411"/>
      <c r="N44" s="328">
        <f>IFERROR(المطابع[[#This Row],[Column2]],"")</f>
        <v>0</v>
      </c>
      <c r="O44" s="329">
        <f>IFERROR(المطابع[[#This Row],[Column3]],"")</f>
        <v>0</v>
      </c>
      <c r="P44" s="330">
        <f>IFERROR(المطابع[[#This Row],[Column4]],"")</f>
        <v>0</v>
      </c>
      <c r="Q44" s="331" t="b">
        <f>IF(AND('تسعير ديجيتال'!$V$23&gt;=P44,'تسعير ديجيتال'!$V$23&lt;=S44),TRUE,FALSE)</f>
        <v>0</v>
      </c>
      <c r="R44" s="331" t="b">
        <f>IF(AND('تسعير ديجيتال داخلي'!$V$23&gt;=P44,'تسعير ديجيتال داخلي'!$V$23&lt;=S44),TRUE,FALSE)</f>
        <v>1</v>
      </c>
      <c r="S44" s="329">
        <f>IFERROR(المطابع[[#This Row],[Column5]],"")</f>
        <v>0</v>
      </c>
      <c r="T44" s="332">
        <f>IFERROR(المطابع[[#This Row],[Column6]],"")</f>
        <v>0</v>
      </c>
      <c r="U44" s="333">
        <f>IFERROR(المطابع[[#This Row],[Column7]],"")</f>
        <v>0</v>
      </c>
      <c r="V44" s="1"/>
      <c r="AA44" s="1"/>
    </row>
    <row r="45" spans="2:27" ht="18.75" thickBot="1" x14ac:dyDescent="0.25">
      <c r="B45" s="409"/>
      <c r="C45" s="143"/>
      <c r="D45" s="406"/>
      <c r="E45" s="143"/>
      <c r="F45" s="423"/>
      <c r="G45" s="411"/>
      <c r="N45" s="328">
        <f>IFERROR(المطابع[[#This Row],[Column2]],"")</f>
        <v>0</v>
      </c>
      <c r="O45" s="329">
        <f>IFERROR(المطابع[[#This Row],[Column3]],"")</f>
        <v>0</v>
      </c>
      <c r="P45" s="330">
        <f>IFERROR(المطابع[[#This Row],[Column4]],"")</f>
        <v>0</v>
      </c>
      <c r="Q45" s="331" t="b">
        <f>IF(AND('تسعير ديجيتال'!$V$23&gt;=P45,'تسعير ديجيتال'!$V$23&lt;=S45),TRUE,FALSE)</f>
        <v>0</v>
      </c>
      <c r="R45" s="331" t="b">
        <f>IF(AND('تسعير ديجيتال داخلي'!$V$23&gt;=P45,'تسعير ديجيتال داخلي'!$V$23&lt;=S45),TRUE,FALSE)</f>
        <v>1</v>
      </c>
      <c r="S45" s="329">
        <f>IFERROR(المطابع[[#This Row],[Column5]],"")</f>
        <v>0</v>
      </c>
      <c r="T45" s="332">
        <f>IFERROR(المطابع[[#This Row],[Column6]],"")</f>
        <v>0</v>
      </c>
      <c r="U45" s="333">
        <f>IFERROR(المطابع[[#This Row],[Column7]],"")</f>
        <v>0</v>
      </c>
      <c r="V45" s="1"/>
      <c r="AA45" s="1"/>
    </row>
    <row r="46" spans="2:27" ht="18.75" thickBot="1" x14ac:dyDescent="0.25">
      <c r="B46" s="409"/>
      <c r="C46" s="143"/>
      <c r="D46" s="406"/>
      <c r="E46" s="143"/>
      <c r="F46" s="423"/>
      <c r="G46" s="411"/>
      <c r="N46" s="328">
        <f>IFERROR(المطابع[[#This Row],[Column2]],"")</f>
        <v>0</v>
      </c>
      <c r="O46" s="329">
        <f>IFERROR(المطابع[[#This Row],[Column3]],"")</f>
        <v>0</v>
      </c>
      <c r="P46" s="330">
        <f>IFERROR(المطابع[[#This Row],[Column4]],"")</f>
        <v>0</v>
      </c>
      <c r="Q46" s="331" t="b">
        <f>IF(AND('تسعير ديجيتال'!$V$23&gt;=P46,'تسعير ديجيتال'!$V$23&lt;=S46),TRUE,FALSE)</f>
        <v>0</v>
      </c>
      <c r="R46" s="331" t="b">
        <f>IF(AND('تسعير ديجيتال داخلي'!$V$23&gt;=P46,'تسعير ديجيتال داخلي'!$V$23&lt;=S46),TRUE,FALSE)</f>
        <v>1</v>
      </c>
      <c r="S46" s="329">
        <f>IFERROR(المطابع[[#This Row],[Column5]],"")</f>
        <v>0</v>
      </c>
      <c r="T46" s="332">
        <f>IFERROR(المطابع[[#This Row],[Column6]],"")</f>
        <v>0</v>
      </c>
      <c r="U46" s="333">
        <f>IFERROR(المطابع[[#This Row],[Column7]],"")</f>
        <v>0</v>
      </c>
      <c r="V46" s="1"/>
      <c r="AA46" s="1"/>
    </row>
    <row r="47" spans="2:27" ht="18.75" thickBot="1" x14ac:dyDescent="0.25">
      <c r="B47" s="409"/>
      <c r="C47" s="143"/>
      <c r="D47" s="406"/>
      <c r="E47" s="143"/>
      <c r="F47" s="423"/>
      <c r="G47" s="411"/>
      <c r="N47" s="328">
        <f>IFERROR(المطابع[[#This Row],[Column2]],"")</f>
        <v>0</v>
      </c>
      <c r="O47" s="329">
        <f>IFERROR(المطابع[[#This Row],[Column3]],"")</f>
        <v>0</v>
      </c>
      <c r="P47" s="330">
        <f>IFERROR(المطابع[[#This Row],[Column4]],"")</f>
        <v>0</v>
      </c>
      <c r="Q47" s="331" t="b">
        <f>IF(AND('تسعير ديجيتال'!$V$23&gt;=P47,'تسعير ديجيتال'!$V$23&lt;=S47),TRUE,FALSE)</f>
        <v>0</v>
      </c>
      <c r="R47" s="331" t="b">
        <f>IF(AND('تسعير ديجيتال داخلي'!$V$23&gt;=P47,'تسعير ديجيتال داخلي'!$V$23&lt;=S47),TRUE,FALSE)</f>
        <v>1</v>
      </c>
      <c r="S47" s="329">
        <f>IFERROR(المطابع[[#This Row],[Column5]],"")</f>
        <v>0</v>
      </c>
      <c r="T47" s="332">
        <f>IFERROR(المطابع[[#This Row],[Column6]],"")</f>
        <v>0</v>
      </c>
      <c r="U47" s="333">
        <f>IFERROR(المطابع[[#This Row],[Column7]],"")</f>
        <v>0</v>
      </c>
      <c r="V47" s="1"/>
      <c r="AA47" s="1"/>
    </row>
    <row r="48" spans="2:27" ht="18.75" thickBot="1" x14ac:dyDescent="0.25">
      <c r="B48" s="410"/>
      <c r="C48" s="143"/>
      <c r="D48" s="406"/>
      <c r="E48" s="143"/>
      <c r="F48" s="423"/>
      <c r="G48" s="412"/>
      <c r="N48" s="328">
        <f>IFERROR(المطابع[[#This Row],[Column2]],"")</f>
        <v>0</v>
      </c>
      <c r="O48" s="329">
        <f>IFERROR(المطابع[[#This Row],[Column3]],"")</f>
        <v>0</v>
      </c>
      <c r="P48" s="330">
        <f>IFERROR(المطابع[[#This Row],[Column4]],"")</f>
        <v>0</v>
      </c>
      <c r="Q48" s="331" t="b">
        <f>IF(AND('تسعير ديجيتال'!$V$23&gt;=P48,'تسعير ديجيتال'!$V$23&lt;=S48),TRUE,FALSE)</f>
        <v>0</v>
      </c>
      <c r="R48" s="331" t="b">
        <f>IF(AND('تسعير ديجيتال داخلي'!$V$23&gt;=P48,'تسعير ديجيتال داخلي'!$V$23&lt;=S48),TRUE,FALSE)</f>
        <v>1</v>
      </c>
      <c r="S48" s="329">
        <f>IFERROR(المطابع[[#This Row],[Column5]],"")</f>
        <v>0</v>
      </c>
      <c r="T48" s="332">
        <f>IFERROR(المطابع[[#This Row],[Column6]],"")</f>
        <v>0</v>
      </c>
      <c r="U48" s="333">
        <f>IFERROR(المطابع[[#This Row],[Column7]],"")</f>
        <v>0</v>
      </c>
      <c r="V48" s="1"/>
      <c r="AA48" s="1"/>
    </row>
    <row r="49" spans="2:27" ht="18.75" thickBot="1" x14ac:dyDescent="0.25">
      <c r="B49" s="311"/>
      <c r="C49" s="143"/>
      <c r="D49" s="406"/>
      <c r="E49" s="143"/>
      <c r="F49" s="407"/>
      <c r="G49" s="298"/>
      <c r="N49" s="328">
        <f>IFERROR(المطابع[[#This Row],[Column2]],"")</f>
        <v>0</v>
      </c>
      <c r="O49" s="329">
        <f>IFERROR(المطابع[[#This Row],[Column3]],"")</f>
        <v>0</v>
      </c>
      <c r="P49" s="330">
        <f>IFERROR(المطابع[[#This Row],[Column4]],"")</f>
        <v>0</v>
      </c>
      <c r="Q49" s="331" t="b">
        <f>IF(AND('تسعير ديجيتال'!$V$23&gt;=P49,'تسعير ديجيتال'!$V$23&lt;=S49),TRUE,FALSE)</f>
        <v>0</v>
      </c>
      <c r="R49" s="331" t="b">
        <f>IF(AND('تسعير ديجيتال داخلي'!$V$23&gt;=P49,'تسعير ديجيتال داخلي'!$V$23&lt;=S49),TRUE,FALSE)</f>
        <v>1</v>
      </c>
      <c r="S49" s="329">
        <f>IFERROR(المطابع[[#This Row],[Column5]],"")</f>
        <v>0</v>
      </c>
      <c r="T49" s="332">
        <f>IFERROR(المطابع[[#This Row],[Column6]],"")</f>
        <v>0</v>
      </c>
      <c r="U49" s="333">
        <f>IFERROR(المطابع[[#This Row],[Column7]],"")</f>
        <v>0</v>
      </c>
      <c r="V49" s="1"/>
      <c r="AA49" s="1"/>
    </row>
    <row r="50" spans="2:27" ht="18.75" thickBot="1" x14ac:dyDescent="0.25">
      <c r="B50" s="311"/>
      <c r="C50" s="143"/>
      <c r="D50" s="406"/>
      <c r="E50" s="143"/>
      <c r="F50" s="407"/>
      <c r="G50" s="298"/>
      <c r="N50" s="328">
        <f>IFERROR(المطابع[[#This Row],[Column2]],"")</f>
        <v>0</v>
      </c>
      <c r="O50" s="329">
        <f>IFERROR(المطابع[[#This Row],[Column3]],"")</f>
        <v>0</v>
      </c>
      <c r="P50" s="330">
        <f>IFERROR(المطابع[[#This Row],[Column4]],"")</f>
        <v>0</v>
      </c>
      <c r="Q50" s="331" t="b">
        <f>IF(AND('تسعير ديجيتال'!$V$23&gt;=P50,'تسعير ديجيتال'!$V$23&lt;=S50),TRUE,FALSE)</f>
        <v>0</v>
      </c>
      <c r="R50" s="331" t="b">
        <f>IF(AND('تسعير ديجيتال داخلي'!$V$23&gt;=P50,'تسعير ديجيتال داخلي'!$V$23&lt;=S50),TRUE,FALSE)</f>
        <v>1</v>
      </c>
      <c r="S50" s="329">
        <f>IFERROR(المطابع[[#This Row],[Column5]],"")</f>
        <v>0</v>
      </c>
      <c r="T50" s="332">
        <f>IFERROR(المطابع[[#This Row],[Column6]],"")</f>
        <v>0</v>
      </c>
      <c r="U50" s="333">
        <f>IFERROR(المطابع[[#This Row],[Column7]],"")</f>
        <v>0</v>
      </c>
      <c r="V50" s="1"/>
      <c r="AA50" s="1"/>
    </row>
    <row r="51" spans="2:27" ht="18.75" thickBot="1" x14ac:dyDescent="0.25">
      <c r="B51" s="311"/>
      <c r="C51" s="143"/>
      <c r="D51" s="406"/>
      <c r="E51" s="143"/>
      <c r="F51" s="407"/>
      <c r="G51" s="298"/>
      <c r="N51" s="328">
        <f>IFERROR(المطابع[[#This Row],[Column2]],"")</f>
        <v>0</v>
      </c>
      <c r="O51" s="329">
        <f>IFERROR(المطابع[[#This Row],[Column3]],"")</f>
        <v>0</v>
      </c>
      <c r="P51" s="330">
        <f>IFERROR(المطابع[[#This Row],[Column4]],"")</f>
        <v>0</v>
      </c>
      <c r="Q51" s="331" t="b">
        <f>IF(AND('تسعير ديجيتال'!$V$23&gt;=P51,'تسعير ديجيتال'!$V$23&lt;=S51),TRUE,FALSE)</f>
        <v>0</v>
      </c>
      <c r="R51" s="331" t="b">
        <f>IF(AND('تسعير ديجيتال داخلي'!$V$23&gt;=P51,'تسعير ديجيتال داخلي'!$V$23&lt;=S51),TRUE,FALSE)</f>
        <v>1</v>
      </c>
      <c r="S51" s="329">
        <f>IFERROR(المطابع[[#This Row],[Column5]],"")</f>
        <v>0</v>
      </c>
      <c r="T51" s="332">
        <f>IFERROR(المطابع[[#This Row],[Column6]],"")</f>
        <v>0</v>
      </c>
      <c r="U51" s="333">
        <f>IFERROR(المطابع[[#This Row],[Column7]],"")</f>
        <v>0</v>
      </c>
      <c r="V51" s="1"/>
      <c r="AA51" s="1"/>
    </row>
    <row r="52" spans="2:27" ht="18.75" thickBot="1" x14ac:dyDescent="0.25">
      <c r="B52" s="311"/>
      <c r="C52" s="143"/>
      <c r="D52" s="406"/>
      <c r="E52" s="143"/>
      <c r="F52" s="407"/>
      <c r="G52" s="298"/>
      <c r="N52" s="328">
        <f>IFERROR(المطابع[[#This Row],[Column2]],"")</f>
        <v>0</v>
      </c>
      <c r="O52" s="329">
        <f>IFERROR(المطابع[[#This Row],[Column3]],"")</f>
        <v>0</v>
      </c>
      <c r="P52" s="330">
        <f>IFERROR(المطابع[[#This Row],[Column4]],"")</f>
        <v>0</v>
      </c>
      <c r="Q52" s="331" t="b">
        <f>IF(AND('تسعير ديجيتال'!$V$23&gt;=P52,'تسعير ديجيتال'!$V$23&lt;=S52),TRUE,FALSE)</f>
        <v>0</v>
      </c>
      <c r="R52" s="331" t="b">
        <f>IF(AND('تسعير ديجيتال داخلي'!$V$23&gt;=P52,'تسعير ديجيتال داخلي'!$V$23&lt;=S52),TRUE,FALSE)</f>
        <v>1</v>
      </c>
      <c r="S52" s="329">
        <f>IFERROR(المطابع[[#This Row],[Column5]],"")</f>
        <v>0</v>
      </c>
      <c r="T52" s="332">
        <f>IFERROR(المطابع[[#This Row],[Column6]],"")</f>
        <v>0</v>
      </c>
      <c r="U52" s="333">
        <f>IFERROR(المطابع[[#This Row],[Column7]],"")</f>
        <v>0</v>
      </c>
      <c r="V52" s="1"/>
      <c r="AA52" s="1"/>
    </row>
    <row r="53" spans="2:27" ht="18.75" thickBot="1" x14ac:dyDescent="0.25">
      <c r="B53" s="311"/>
      <c r="C53" s="143"/>
      <c r="D53" s="406"/>
      <c r="E53" s="143"/>
      <c r="F53" s="407"/>
      <c r="G53" s="298"/>
      <c r="N53" s="328">
        <f>IFERROR(المطابع[[#This Row],[Column2]],"")</f>
        <v>0</v>
      </c>
      <c r="O53" s="329">
        <f>IFERROR(المطابع[[#This Row],[Column3]],"")</f>
        <v>0</v>
      </c>
      <c r="P53" s="330">
        <f>IFERROR(المطابع[[#This Row],[Column4]],"")</f>
        <v>0</v>
      </c>
      <c r="Q53" s="331" t="b">
        <f>IF(AND('تسعير ديجيتال'!$V$23&gt;=P53,'تسعير ديجيتال'!$V$23&lt;=S53),TRUE,FALSE)</f>
        <v>0</v>
      </c>
      <c r="R53" s="331" t="b">
        <f>IF(AND('تسعير ديجيتال داخلي'!$V$23&gt;=P53,'تسعير ديجيتال داخلي'!$V$23&lt;=S53),TRUE,FALSE)</f>
        <v>1</v>
      </c>
      <c r="S53" s="329">
        <f>IFERROR(المطابع[[#This Row],[Column5]],"")</f>
        <v>0</v>
      </c>
      <c r="T53" s="332">
        <f>IFERROR(المطابع[[#This Row],[Column6]],"")</f>
        <v>0</v>
      </c>
      <c r="U53" s="333">
        <f>IFERROR(المطابع[[#This Row],[Column7]],"")</f>
        <v>0</v>
      </c>
      <c r="V53" s="1"/>
      <c r="AA53" s="1"/>
    </row>
    <row r="54" spans="2:27" ht="18.75" thickBot="1" x14ac:dyDescent="0.25">
      <c r="B54" s="311"/>
      <c r="C54" s="143"/>
      <c r="D54" s="406"/>
      <c r="E54" s="143"/>
      <c r="F54" s="407"/>
      <c r="G54" s="298"/>
      <c r="N54" s="328">
        <f>IFERROR(المطابع[[#This Row],[Column2]],"")</f>
        <v>0</v>
      </c>
      <c r="O54" s="329">
        <f>IFERROR(المطابع[[#This Row],[Column3]],"")</f>
        <v>0</v>
      </c>
      <c r="P54" s="330">
        <f>IFERROR(المطابع[[#This Row],[Column4]],"")</f>
        <v>0</v>
      </c>
      <c r="Q54" s="331" t="b">
        <f>IF(AND('تسعير ديجيتال'!$V$23&gt;=P54,'تسعير ديجيتال'!$V$23&lt;=S54),TRUE,FALSE)</f>
        <v>0</v>
      </c>
      <c r="R54" s="331" t="b">
        <f>IF(AND('تسعير ديجيتال داخلي'!$V$23&gt;=P54,'تسعير ديجيتال داخلي'!$V$23&lt;=S54),TRUE,FALSE)</f>
        <v>1</v>
      </c>
      <c r="S54" s="329">
        <f>IFERROR(المطابع[[#This Row],[Column5]],"")</f>
        <v>0</v>
      </c>
      <c r="T54" s="332">
        <f>IFERROR(المطابع[[#This Row],[Column6]],"")</f>
        <v>0</v>
      </c>
      <c r="U54" s="333">
        <f>IFERROR(المطابع[[#This Row],[Column7]],"")</f>
        <v>0</v>
      </c>
      <c r="V54" s="1"/>
      <c r="AA54" s="1"/>
    </row>
    <row r="55" spans="2:27" ht="18.75" thickBot="1" x14ac:dyDescent="0.25">
      <c r="B55" s="311"/>
      <c r="C55" s="143"/>
      <c r="D55" s="406"/>
      <c r="E55" s="143"/>
      <c r="F55" s="407"/>
      <c r="G55" s="298"/>
      <c r="N55" s="328">
        <f>IFERROR(المطابع[[#This Row],[Column2]],"")</f>
        <v>0</v>
      </c>
      <c r="O55" s="329">
        <f>IFERROR(المطابع[[#This Row],[Column3]],"")</f>
        <v>0</v>
      </c>
      <c r="P55" s="330">
        <f>IFERROR(المطابع[[#This Row],[Column4]],"")</f>
        <v>0</v>
      </c>
      <c r="Q55" s="331" t="b">
        <f>IF(AND('تسعير ديجيتال'!$V$23&gt;=P55,'تسعير ديجيتال'!$V$23&lt;=S55),TRUE,FALSE)</f>
        <v>0</v>
      </c>
      <c r="R55" s="331" t="b">
        <f>IF(AND('تسعير ديجيتال داخلي'!$V$23&gt;=P55,'تسعير ديجيتال داخلي'!$V$23&lt;=S55),TRUE,FALSE)</f>
        <v>1</v>
      </c>
      <c r="S55" s="329">
        <f>IFERROR(المطابع[[#This Row],[Column5]],"")</f>
        <v>0</v>
      </c>
      <c r="T55" s="332">
        <f>IFERROR(المطابع[[#This Row],[Column6]],"")</f>
        <v>0</v>
      </c>
      <c r="U55" s="333">
        <f>IFERROR(المطابع[[#This Row],[Column7]],"")</f>
        <v>0</v>
      </c>
      <c r="V55" s="1"/>
      <c r="AA55" s="1"/>
    </row>
    <row r="56" spans="2:27" ht="18.75" thickBot="1" x14ac:dyDescent="0.25">
      <c r="B56" s="311"/>
      <c r="C56" s="143"/>
      <c r="D56" s="406"/>
      <c r="E56" s="143"/>
      <c r="F56" s="407"/>
      <c r="G56" s="298"/>
      <c r="N56" s="328">
        <f>IFERROR(المطابع[[#This Row],[Column2]],"")</f>
        <v>0</v>
      </c>
      <c r="O56" s="329">
        <f>IFERROR(المطابع[[#This Row],[Column3]],"")</f>
        <v>0</v>
      </c>
      <c r="P56" s="330">
        <f>IFERROR(المطابع[[#This Row],[Column4]],"")</f>
        <v>0</v>
      </c>
      <c r="Q56" s="331" t="b">
        <f>IF(AND('تسعير ديجيتال'!$V$23&gt;=P56,'تسعير ديجيتال'!$V$23&lt;=S56),TRUE,FALSE)</f>
        <v>0</v>
      </c>
      <c r="R56" s="331" t="b">
        <f>IF(AND('تسعير ديجيتال داخلي'!$V$23&gt;=P56,'تسعير ديجيتال داخلي'!$V$23&lt;=S56),TRUE,FALSE)</f>
        <v>1</v>
      </c>
      <c r="S56" s="329">
        <f>IFERROR(المطابع[[#This Row],[Column5]],"")</f>
        <v>0</v>
      </c>
      <c r="T56" s="332">
        <f>IFERROR(المطابع[[#This Row],[Column6]],"")</f>
        <v>0</v>
      </c>
      <c r="U56" s="333">
        <f>IFERROR(المطابع[[#This Row],[Column7]],"")</f>
        <v>0</v>
      </c>
      <c r="V56" s="1"/>
      <c r="AA56" s="1"/>
    </row>
    <row r="57" spans="2:27" ht="18.75" thickBot="1" x14ac:dyDescent="0.25">
      <c r="B57" s="311"/>
      <c r="C57" s="143"/>
      <c r="D57" s="406"/>
      <c r="E57" s="143"/>
      <c r="F57" s="407"/>
      <c r="G57" s="298"/>
      <c r="N57" s="328">
        <f>IFERROR(المطابع[[#This Row],[Column2]],"")</f>
        <v>0</v>
      </c>
      <c r="O57" s="329">
        <f>IFERROR(المطابع[[#This Row],[Column3]],"")</f>
        <v>0</v>
      </c>
      <c r="P57" s="330">
        <f>IFERROR(المطابع[[#This Row],[Column4]],"")</f>
        <v>0</v>
      </c>
      <c r="Q57" s="331" t="b">
        <f>IF(AND('تسعير ديجيتال'!$V$23&gt;=P57,'تسعير ديجيتال'!$V$23&lt;=S57),TRUE,FALSE)</f>
        <v>0</v>
      </c>
      <c r="R57" s="331" t="b">
        <f>IF(AND('تسعير ديجيتال داخلي'!$V$23&gt;=P57,'تسعير ديجيتال داخلي'!$V$23&lt;=S57),TRUE,FALSE)</f>
        <v>1</v>
      </c>
      <c r="S57" s="329">
        <f>IFERROR(المطابع[[#This Row],[Column5]],"")</f>
        <v>0</v>
      </c>
      <c r="T57" s="332">
        <f>IFERROR(المطابع[[#This Row],[Column6]],"")</f>
        <v>0</v>
      </c>
      <c r="U57" s="333">
        <f>IFERROR(المطابع[[#This Row],[Column7]],"")</f>
        <v>0</v>
      </c>
      <c r="V57" s="1"/>
      <c r="AA57" s="1"/>
    </row>
    <row r="58" spans="2:27" ht="18.75" thickBot="1" x14ac:dyDescent="0.25">
      <c r="B58" s="311"/>
      <c r="C58" s="143"/>
      <c r="D58" s="406"/>
      <c r="E58" s="143"/>
      <c r="F58" s="407"/>
      <c r="G58" s="298"/>
      <c r="N58" s="328">
        <f>IFERROR(المطابع[[#This Row],[Column2]],"")</f>
        <v>0</v>
      </c>
      <c r="O58" s="329">
        <f>IFERROR(المطابع[[#This Row],[Column3]],"")</f>
        <v>0</v>
      </c>
      <c r="P58" s="330">
        <f>IFERROR(المطابع[[#This Row],[Column4]],"")</f>
        <v>0</v>
      </c>
      <c r="Q58" s="331" t="b">
        <f>IF(AND('تسعير ديجيتال'!$V$23&gt;=P58,'تسعير ديجيتال'!$V$23&lt;=S58),TRUE,FALSE)</f>
        <v>0</v>
      </c>
      <c r="R58" s="331" t="b">
        <f>IF(AND('تسعير ديجيتال داخلي'!$V$23&gt;=P58,'تسعير ديجيتال داخلي'!$V$23&lt;=S58),TRUE,FALSE)</f>
        <v>1</v>
      </c>
      <c r="S58" s="329">
        <f>IFERROR(المطابع[[#This Row],[Column5]],"")</f>
        <v>0</v>
      </c>
      <c r="T58" s="332">
        <f>IFERROR(المطابع[[#This Row],[Column6]],"")</f>
        <v>0</v>
      </c>
      <c r="U58" s="333">
        <f>IFERROR(المطابع[[#This Row],[Column7]],"")</f>
        <v>0</v>
      </c>
      <c r="V58" s="1"/>
      <c r="AA58" s="1"/>
    </row>
    <row r="59" spans="2:27" ht="18.75" thickBot="1" x14ac:dyDescent="0.25">
      <c r="N59" s="328" t="str">
        <f>IFERROR(المطابع[[#This Row],[Column2]],"")</f>
        <v/>
      </c>
      <c r="O59" s="329" t="str">
        <f>IFERROR(المطابع[[#This Row],[Column3]],"")</f>
        <v/>
      </c>
      <c r="P59" s="330" t="str">
        <f>IFERROR(المطابع[[#This Row],[Column4]],"")</f>
        <v/>
      </c>
      <c r="Q59" s="331" t="b">
        <f>IF(AND('تسعير ديجيتال'!$V$23&gt;=P59,'تسعير ديجيتال'!$V$23&lt;=S59),TRUE,FALSE)</f>
        <v>0</v>
      </c>
      <c r="R59" s="331" t="b">
        <f>IF(AND('تسعير ديجيتال داخلي'!$V$23&gt;=P59,'تسعير ديجيتال داخلي'!$V$23&lt;=S59),TRUE,FALSE)</f>
        <v>0</v>
      </c>
      <c r="S59" s="329" t="str">
        <f>IFERROR(المطابع[[#This Row],[Column5]],"")</f>
        <v/>
      </c>
      <c r="T59" s="332" t="str">
        <f>IFERROR(المطابع[[#This Row],[Column6]],"")</f>
        <v/>
      </c>
      <c r="U59" s="333" t="str">
        <f>IFERROR(المطابع[[#This Row],[Column7]],"")</f>
        <v/>
      </c>
      <c r="V59" s="1"/>
      <c r="AA59" s="1"/>
    </row>
    <row r="60" spans="2:27" ht="18.75" thickBot="1" x14ac:dyDescent="0.25">
      <c r="N60" s="328" t="str">
        <f>IFERROR(المطابع[[#This Row],[Column2]],"")</f>
        <v/>
      </c>
      <c r="O60" s="329" t="str">
        <f>IFERROR(المطابع[[#This Row],[Column3]],"")</f>
        <v/>
      </c>
      <c r="P60" s="330" t="str">
        <f>IFERROR(المطابع[[#This Row],[Column4]],"")</f>
        <v/>
      </c>
      <c r="Q60" s="331" t="b">
        <f>IF(AND('تسعير ديجيتال'!$V$23&gt;=P60,'تسعير ديجيتال'!$V$23&lt;=S60),TRUE,FALSE)</f>
        <v>0</v>
      </c>
      <c r="R60" s="331" t="b">
        <f>IF(AND('تسعير ديجيتال داخلي'!$V$23&gt;=P60,'تسعير ديجيتال داخلي'!$V$23&lt;=S60),TRUE,FALSE)</f>
        <v>0</v>
      </c>
      <c r="S60" s="329" t="str">
        <f>IFERROR(المطابع[[#This Row],[Column5]],"")</f>
        <v/>
      </c>
      <c r="T60" s="332" t="str">
        <f>IFERROR(المطابع[[#This Row],[Column6]],"")</f>
        <v/>
      </c>
      <c r="U60" s="333" t="str">
        <f>IFERROR(المطابع[[#This Row],[Column7]],"")</f>
        <v/>
      </c>
      <c r="V60" s="1"/>
      <c r="AA60" s="1"/>
    </row>
    <row r="61" spans="2:27" ht="18.75" thickBot="1" x14ac:dyDescent="0.25">
      <c r="N61" s="328" t="str">
        <f>IFERROR(المطابع[[#This Row],[Column2]],"")</f>
        <v/>
      </c>
      <c r="O61" s="329" t="str">
        <f>IFERROR(المطابع[[#This Row],[Column3]],"")</f>
        <v/>
      </c>
      <c r="P61" s="330" t="str">
        <f>IFERROR(المطابع[[#This Row],[Column4]],"")</f>
        <v/>
      </c>
      <c r="Q61" s="331" t="b">
        <f>IF(AND('تسعير ديجيتال'!$V$23&gt;=P61,'تسعير ديجيتال'!$V$23&lt;=S61),TRUE,FALSE)</f>
        <v>0</v>
      </c>
      <c r="R61" s="331" t="b">
        <f>IF(AND('تسعير ديجيتال داخلي'!$V$23&gt;=P61,'تسعير ديجيتال داخلي'!$V$23&lt;=S61),TRUE,FALSE)</f>
        <v>0</v>
      </c>
      <c r="S61" s="329" t="str">
        <f>IFERROR(المطابع[[#This Row],[Column5]],"")</f>
        <v/>
      </c>
      <c r="T61" s="332" t="str">
        <f>IFERROR(المطابع[[#This Row],[Column6]],"")</f>
        <v/>
      </c>
      <c r="U61" s="333" t="str">
        <f>IFERROR(المطابع[[#This Row],[Column7]],"")</f>
        <v/>
      </c>
      <c r="V61" s="1"/>
      <c r="AA61" s="1"/>
    </row>
    <row r="62" spans="2:27" ht="18.75" thickBot="1" x14ac:dyDescent="0.25">
      <c r="N62" s="328" t="str">
        <f>IFERROR(المطابع[[#This Row],[Column2]],"")</f>
        <v/>
      </c>
      <c r="O62" s="329" t="str">
        <f>IFERROR(المطابع[[#This Row],[Column3]],"")</f>
        <v/>
      </c>
      <c r="P62" s="330" t="str">
        <f>IFERROR(المطابع[[#This Row],[Column4]],"")</f>
        <v/>
      </c>
      <c r="Q62" s="331" t="b">
        <f>IF(AND('تسعير ديجيتال'!$V$23&gt;=P62,'تسعير ديجيتال'!$V$23&lt;=S62),TRUE,FALSE)</f>
        <v>0</v>
      </c>
      <c r="R62" s="331" t="b">
        <f>IF(AND('تسعير ديجيتال داخلي'!$V$23&gt;=P62,'تسعير ديجيتال داخلي'!$V$23&lt;=S62),TRUE,FALSE)</f>
        <v>0</v>
      </c>
      <c r="S62" s="329" t="str">
        <f>IFERROR(المطابع[[#This Row],[Column5]],"")</f>
        <v/>
      </c>
      <c r="T62" s="332" t="str">
        <f>IFERROR(المطابع[[#This Row],[Column6]],"")</f>
        <v/>
      </c>
      <c r="U62" s="333" t="str">
        <f>IFERROR(المطابع[[#This Row],[Column7]],"")</f>
        <v/>
      </c>
      <c r="V62" s="1"/>
      <c r="AA62" s="1"/>
    </row>
    <row r="63" spans="2:27" ht="18.75" thickBot="1" x14ac:dyDescent="0.25">
      <c r="N63" s="328" t="str">
        <f>IFERROR(المطابع[[#This Row],[Column2]],"")</f>
        <v/>
      </c>
      <c r="O63" s="329" t="str">
        <f>IFERROR(المطابع[[#This Row],[Column3]],"")</f>
        <v/>
      </c>
      <c r="P63" s="330" t="str">
        <f>IFERROR(المطابع[[#This Row],[Column4]],"")</f>
        <v/>
      </c>
      <c r="Q63" s="331" t="b">
        <f>IF(AND('تسعير ديجيتال'!$V$23&gt;=P63,'تسعير ديجيتال'!$V$23&lt;=S63),TRUE,FALSE)</f>
        <v>0</v>
      </c>
      <c r="R63" s="331" t="b">
        <f>IF(AND('تسعير ديجيتال داخلي'!$V$23&gt;=P63,'تسعير ديجيتال داخلي'!$V$23&lt;=S63),TRUE,FALSE)</f>
        <v>0</v>
      </c>
      <c r="S63" s="329" t="str">
        <f>IFERROR(المطابع[[#This Row],[Column5]],"")</f>
        <v/>
      </c>
      <c r="T63" s="332" t="str">
        <f>IFERROR(المطابع[[#This Row],[Column6]],"")</f>
        <v/>
      </c>
      <c r="U63" s="333" t="str">
        <f>IFERROR(المطابع[[#This Row],[Column7]],"")</f>
        <v/>
      </c>
      <c r="V63" s="1"/>
      <c r="AA63" s="1"/>
    </row>
    <row r="64" spans="2:27" ht="18.75" thickBot="1" x14ac:dyDescent="0.25">
      <c r="N64" s="328" t="str">
        <f>IFERROR(المطابع[[#This Row],[Column2]],"")</f>
        <v/>
      </c>
      <c r="O64" s="329" t="str">
        <f>IFERROR(المطابع[[#This Row],[Column3]],"")</f>
        <v/>
      </c>
      <c r="P64" s="330" t="str">
        <f>IFERROR(المطابع[[#This Row],[Column4]],"")</f>
        <v/>
      </c>
      <c r="Q64" s="331" t="b">
        <f>IF(AND('تسعير ديجيتال'!$V$23&gt;=P64,'تسعير ديجيتال'!$V$23&lt;=S64),TRUE,FALSE)</f>
        <v>0</v>
      </c>
      <c r="R64" s="331" t="b">
        <f>IF(AND('تسعير ديجيتال داخلي'!$V$23&gt;=P64,'تسعير ديجيتال داخلي'!$V$23&lt;=S64),TRUE,FALSE)</f>
        <v>0</v>
      </c>
      <c r="S64" s="329" t="str">
        <f>IFERROR(المطابع[[#This Row],[Column5]],"")</f>
        <v/>
      </c>
      <c r="T64" s="332" t="str">
        <f>IFERROR(المطابع[[#This Row],[Column6]],"")</f>
        <v/>
      </c>
      <c r="U64" s="333" t="str">
        <f>IFERROR(المطابع[[#This Row],[Column7]],"")</f>
        <v/>
      </c>
      <c r="V64" s="1"/>
      <c r="AA64" s="1"/>
    </row>
    <row r="65" spans="14:27" ht="18.75" thickBot="1" x14ac:dyDescent="0.25">
      <c r="N65" s="328" t="str">
        <f>IFERROR(المطابع[[#This Row],[Column2]],"")</f>
        <v/>
      </c>
      <c r="O65" s="329" t="str">
        <f>IFERROR(المطابع[[#This Row],[Column3]],"")</f>
        <v/>
      </c>
      <c r="P65" s="330" t="str">
        <f>IFERROR(المطابع[[#This Row],[Column4]],"")</f>
        <v/>
      </c>
      <c r="Q65" s="331" t="b">
        <f>IF(AND('تسعير ديجيتال'!$V$23&gt;=P65,'تسعير ديجيتال'!$V$23&lt;=S65),TRUE,FALSE)</f>
        <v>0</v>
      </c>
      <c r="R65" s="331" t="b">
        <f>IF(AND('تسعير ديجيتال داخلي'!$V$23&gt;=P65,'تسعير ديجيتال داخلي'!$V$23&lt;=S65),TRUE,FALSE)</f>
        <v>0</v>
      </c>
      <c r="S65" s="329" t="str">
        <f>IFERROR(المطابع[[#This Row],[Column5]],"")</f>
        <v/>
      </c>
      <c r="T65" s="332" t="str">
        <f>IFERROR(المطابع[[#This Row],[Column6]],"")</f>
        <v/>
      </c>
      <c r="U65" s="333" t="str">
        <f>IFERROR(المطابع[[#This Row],[Column7]],"")</f>
        <v/>
      </c>
      <c r="V65" s="1"/>
      <c r="AA65" s="1"/>
    </row>
    <row r="66" spans="14:27" ht="18.75" thickBot="1" x14ac:dyDescent="0.25">
      <c r="N66" s="328" t="str">
        <f>IFERROR(المطابع[[#This Row],[Column2]],"")</f>
        <v/>
      </c>
      <c r="O66" s="329" t="str">
        <f>IFERROR(المطابع[[#This Row],[Column3]],"")</f>
        <v/>
      </c>
      <c r="P66" s="330" t="str">
        <f>IFERROR(المطابع[[#This Row],[Column4]],"")</f>
        <v/>
      </c>
      <c r="Q66" s="331" t="b">
        <f>IF(AND('تسعير ديجيتال'!$V$23&gt;=P66,'تسعير ديجيتال'!$V$23&lt;=S66),TRUE,FALSE)</f>
        <v>0</v>
      </c>
      <c r="R66" s="331" t="b">
        <f>IF(AND('تسعير ديجيتال داخلي'!$V$23&gt;=P66,'تسعير ديجيتال داخلي'!$V$23&lt;=S66),TRUE,FALSE)</f>
        <v>0</v>
      </c>
      <c r="S66" s="329" t="str">
        <f>IFERROR(المطابع[[#This Row],[Column5]],"")</f>
        <v/>
      </c>
      <c r="T66" s="332" t="str">
        <f>IFERROR(المطابع[[#This Row],[Column6]],"")</f>
        <v/>
      </c>
      <c r="U66" s="333" t="str">
        <f>IFERROR(المطابع[[#This Row],[Column7]],"")</f>
        <v/>
      </c>
      <c r="V66" s="1"/>
      <c r="AA66" s="1"/>
    </row>
    <row r="67" spans="14:27" ht="18.75" thickBot="1" x14ac:dyDescent="0.25">
      <c r="N67" s="328" t="str">
        <f>IFERROR(المطابع[[#This Row],[Column2]],"")</f>
        <v/>
      </c>
      <c r="O67" s="329" t="str">
        <f>IFERROR(المطابع[[#This Row],[Column3]],"")</f>
        <v/>
      </c>
      <c r="P67" s="330" t="str">
        <f>IFERROR(المطابع[[#This Row],[Column4]],"")</f>
        <v/>
      </c>
      <c r="Q67" s="331" t="b">
        <f>IF(AND('تسعير ديجيتال'!$V$23&gt;=P67,'تسعير ديجيتال'!$V$23&lt;=S67),TRUE,FALSE)</f>
        <v>0</v>
      </c>
      <c r="R67" s="331" t="b">
        <f>IF(AND('تسعير ديجيتال داخلي'!$V$23&gt;=P67,'تسعير ديجيتال داخلي'!$V$23&lt;=S67),TRUE,FALSE)</f>
        <v>0</v>
      </c>
      <c r="S67" s="329" t="str">
        <f>IFERROR(المطابع[[#This Row],[Column5]],"")</f>
        <v/>
      </c>
      <c r="T67" s="332" t="str">
        <f>IFERROR(المطابع[[#This Row],[Column6]],"")</f>
        <v/>
      </c>
      <c r="U67" s="333" t="str">
        <f>IFERROR(المطابع[[#This Row],[Column7]],"")</f>
        <v/>
      </c>
      <c r="V67" s="1"/>
      <c r="AA67" s="1"/>
    </row>
    <row r="68" spans="14:27" ht="18.75" thickBot="1" x14ac:dyDescent="0.25">
      <c r="N68" s="328" t="str">
        <f>IFERROR(المطابع[[#This Row],[Column2]],"")</f>
        <v/>
      </c>
      <c r="O68" s="329" t="str">
        <f>IFERROR(المطابع[[#This Row],[Column3]],"")</f>
        <v/>
      </c>
      <c r="P68" s="330" t="str">
        <f>IFERROR(المطابع[[#This Row],[Column4]],"")</f>
        <v/>
      </c>
      <c r="Q68" s="331" t="b">
        <f>IF(AND('تسعير ديجيتال'!$V$23&gt;=P68,'تسعير ديجيتال'!$V$23&lt;=S68),TRUE,FALSE)</f>
        <v>0</v>
      </c>
      <c r="R68" s="331" t="b">
        <f>IF(AND('تسعير ديجيتال داخلي'!$V$23&gt;=P68,'تسعير ديجيتال داخلي'!$V$23&lt;=S68),TRUE,FALSE)</f>
        <v>0</v>
      </c>
      <c r="S68" s="329" t="str">
        <f>IFERROR(المطابع[[#This Row],[Column5]],"")</f>
        <v/>
      </c>
      <c r="T68" s="332" t="str">
        <f>IFERROR(المطابع[[#This Row],[Column6]],"")</f>
        <v/>
      </c>
      <c r="U68" s="333" t="str">
        <f>IFERROR(المطابع[[#This Row],[Column7]],"")</f>
        <v/>
      </c>
      <c r="V68" s="1"/>
      <c r="AA68" s="1"/>
    </row>
    <row r="69" spans="14:27" ht="18.75" thickBot="1" x14ac:dyDescent="0.25">
      <c r="N69" s="328" t="str">
        <f>IFERROR(المطابع[[#This Row],[Column2]],"")</f>
        <v/>
      </c>
      <c r="O69" s="329" t="str">
        <f>IFERROR(المطابع[[#This Row],[Column3]],"")</f>
        <v/>
      </c>
      <c r="P69" s="330" t="str">
        <f>IFERROR(المطابع[[#This Row],[Column4]],"")</f>
        <v/>
      </c>
      <c r="Q69" s="331" t="b">
        <f>IF(AND('تسعير ديجيتال'!$V$23&gt;=P69,'تسعير ديجيتال'!$V$23&lt;=S69),TRUE,FALSE)</f>
        <v>0</v>
      </c>
      <c r="R69" s="331" t="b">
        <f>IF(AND('تسعير ديجيتال داخلي'!$V$23&gt;=P69,'تسعير ديجيتال داخلي'!$V$23&lt;=S69),TRUE,FALSE)</f>
        <v>0</v>
      </c>
      <c r="S69" s="329" t="str">
        <f>IFERROR(المطابع[[#This Row],[Column5]],"")</f>
        <v/>
      </c>
      <c r="T69" s="332" t="str">
        <f>IFERROR(المطابع[[#This Row],[Column6]],"")</f>
        <v/>
      </c>
      <c r="U69" s="333" t="str">
        <f>IFERROR(المطابع[[#This Row],[Column7]],"")</f>
        <v/>
      </c>
      <c r="V69" s="1"/>
      <c r="AA69" s="1"/>
    </row>
    <row r="70" spans="14:27" ht="18.75" thickBot="1" x14ac:dyDescent="0.25">
      <c r="N70" s="328" t="str">
        <f>IFERROR(المطابع[[#This Row],[Column2]],"")</f>
        <v/>
      </c>
      <c r="O70" s="329" t="str">
        <f>IFERROR(المطابع[[#This Row],[Column3]],"")</f>
        <v/>
      </c>
      <c r="P70" s="330" t="str">
        <f>IFERROR(المطابع[[#This Row],[Column4]],"")</f>
        <v/>
      </c>
      <c r="Q70" s="331" t="b">
        <f>IF(AND('تسعير ديجيتال'!$V$23&gt;=P70,'تسعير ديجيتال'!$V$23&lt;=S70),TRUE,FALSE)</f>
        <v>0</v>
      </c>
      <c r="R70" s="331" t="b">
        <f>IF(AND('تسعير ديجيتال داخلي'!$V$23&gt;=P70,'تسعير ديجيتال داخلي'!$V$23&lt;=S70),TRUE,FALSE)</f>
        <v>0</v>
      </c>
      <c r="S70" s="329" t="str">
        <f>IFERROR(المطابع[[#This Row],[Column5]],"")</f>
        <v/>
      </c>
      <c r="T70" s="332" t="str">
        <f>IFERROR(المطابع[[#This Row],[Column6]],"")</f>
        <v/>
      </c>
      <c r="U70" s="333" t="str">
        <f>IFERROR(المطابع[[#This Row],[Column7]],"")</f>
        <v/>
      </c>
      <c r="V70" s="1"/>
      <c r="AA70" s="1"/>
    </row>
    <row r="71" spans="14:27" ht="18.75" thickBot="1" x14ac:dyDescent="0.25">
      <c r="N71" s="328" t="str">
        <f>IFERROR(المطابع[[#This Row],[Column2]],"")</f>
        <v/>
      </c>
      <c r="O71" s="329" t="str">
        <f>IFERROR(المطابع[[#This Row],[Column3]],"")</f>
        <v/>
      </c>
      <c r="P71" s="330" t="str">
        <f>IFERROR(المطابع[[#This Row],[Column4]],"")</f>
        <v/>
      </c>
      <c r="Q71" s="331" t="b">
        <f>IF(AND('تسعير ديجيتال'!$V$23&gt;=P71,'تسعير ديجيتال'!$V$23&lt;=S71),TRUE,FALSE)</f>
        <v>0</v>
      </c>
      <c r="R71" s="331" t="b">
        <f>IF(AND('تسعير ديجيتال داخلي'!$V$23&gt;=P71,'تسعير ديجيتال داخلي'!$V$23&lt;=S71),TRUE,FALSE)</f>
        <v>0</v>
      </c>
      <c r="S71" s="329" t="str">
        <f>IFERROR(المطابع[[#This Row],[Column5]],"")</f>
        <v/>
      </c>
      <c r="T71" s="332" t="str">
        <f>IFERROR(المطابع[[#This Row],[Column6]],"")</f>
        <v/>
      </c>
      <c r="U71" s="333" t="str">
        <f>IFERROR(المطابع[[#This Row],[Column7]],"")</f>
        <v/>
      </c>
      <c r="V71" s="1"/>
      <c r="AA71" s="1"/>
    </row>
    <row r="72" spans="14:27" ht="18.75" thickBot="1" x14ac:dyDescent="0.25">
      <c r="N72" s="328" t="str">
        <f>IFERROR(المطابع[[#This Row],[Column2]],"")</f>
        <v/>
      </c>
      <c r="O72" s="329" t="str">
        <f>IFERROR(المطابع[[#This Row],[Column3]],"")</f>
        <v/>
      </c>
      <c r="P72" s="330" t="str">
        <f>IFERROR(المطابع[[#This Row],[Column4]],"")</f>
        <v/>
      </c>
      <c r="Q72" s="331" t="b">
        <f>IF(AND('تسعير ديجيتال'!$V$23&gt;=P72,'تسعير ديجيتال'!$V$23&lt;=S72),TRUE,FALSE)</f>
        <v>0</v>
      </c>
      <c r="R72" s="331" t="b">
        <f>IF(AND('تسعير ديجيتال داخلي'!$V$23&gt;=P72,'تسعير ديجيتال داخلي'!$V$23&lt;=S72),TRUE,FALSE)</f>
        <v>0</v>
      </c>
      <c r="S72" s="329" t="str">
        <f>IFERROR(المطابع[[#This Row],[Column5]],"")</f>
        <v/>
      </c>
      <c r="T72" s="332" t="str">
        <f>IFERROR(المطابع[[#This Row],[Column6]],"")</f>
        <v/>
      </c>
      <c r="U72" s="333" t="str">
        <f>IFERROR(المطابع[[#This Row],[Column7]],"")</f>
        <v/>
      </c>
      <c r="V72" s="1"/>
      <c r="AA72" s="1"/>
    </row>
    <row r="73" spans="14:27" ht="18.75" thickBot="1" x14ac:dyDescent="0.25">
      <c r="N73" s="328" t="str">
        <f>IFERROR(المطابع[[#This Row],[Column2]],"")</f>
        <v/>
      </c>
      <c r="O73" s="329" t="str">
        <f>IFERROR(المطابع[[#This Row],[Column3]],"")</f>
        <v/>
      </c>
      <c r="P73" s="330" t="str">
        <f>IFERROR(المطابع[[#This Row],[Column4]],"")</f>
        <v/>
      </c>
      <c r="Q73" s="331" t="b">
        <f>IF(AND('تسعير ديجيتال'!$V$23&gt;=P73,'تسعير ديجيتال'!$V$23&lt;=S73),TRUE,FALSE)</f>
        <v>0</v>
      </c>
      <c r="R73" s="331" t="b">
        <f>IF(AND('تسعير ديجيتال داخلي'!$V$23&gt;=P73,'تسعير ديجيتال داخلي'!$V$23&lt;=S73),TRUE,FALSE)</f>
        <v>0</v>
      </c>
      <c r="S73" s="329" t="str">
        <f>IFERROR(المطابع[[#This Row],[Column5]],"")</f>
        <v/>
      </c>
      <c r="T73" s="332" t="str">
        <f>IFERROR(المطابع[[#This Row],[Column6]],"")</f>
        <v/>
      </c>
      <c r="U73" s="333" t="str">
        <f>IFERROR(المطابع[[#This Row],[Column7]],"")</f>
        <v/>
      </c>
      <c r="V73" s="1"/>
      <c r="AA73" s="1"/>
    </row>
    <row r="74" spans="14:27" ht="18.75" thickBot="1" x14ac:dyDescent="0.25">
      <c r="N74" s="328" t="str">
        <f>IFERROR(المطابع[[#This Row],[Column2]],"")</f>
        <v/>
      </c>
      <c r="O74" s="329" t="str">
        <f>IFERROR(المطابع[[#This Row],[Column3]],"")</f>
        <v/>
      </c>
      <c r="P74" s="330" t="str">
        <f>IFERROR(المطابع[[#This Row],[Column4]],"")</f>
        <v/>
      </c>
      <c r="Q74" s="331" t="b">
        <f>IF(AND('تسعير ديجيتال'!$V$23&gt;=P74,'تسعير ديجيتال'!$V$23&lt;=S74),TRUE,FALSE)</f>
        <v>0</v>
      </c>
      <c r="R74" s="331" t="b">
        <f>IF(AND('تسعير ديجيتال داخلي'!$V$23&gt;=P74,'تسعير ديجيتال داخلي'!$V$23&lt;=S74),TRUE,FALSE)</f>
        <v>0</v>
      </c>
      <c r="S74" s="329" t="str">
        <f>IFERROR(المطابع[[#This Row],[Column5]],"")</f>
        <v/>
      </c>
      <c r="T74" s="332" t="str">
        <f>IFERROR(المطابع[[#This Row],[Column6]],"")</f>
        <v/>
      </c>
      <c r="U74" s="333" t="str">
        <f>IFERROR(المطابع[[#This Row],[Column7]],"")</f>
        <v/>
      </c>
      <c r="V74" s="1"/>
      <c r="AA74" s="1"/>
    </row>
    <row r="75" spans="14:27" ht="18.75" thickBot="1" x14ac:dyDescent="0.25">
      <c r="N75" s="328" t="str">
        <f>IFERROR(المطابع[[#This Row],[Column2]],"")</f>
        <v/>
      </c>
      <c r="O75" s="329" t="str">
        <f>IFERROR(المطابع[[#This Row],[Column3]],"")</f>
        <v/>
      </c>
      <c r="P75" s="330" t="str">
        <f>IFERROR(المطابع[[#This Row],[Column4]],"")</f>
        <v/>
      </c>
      <c r="Q75" s="331" t="b">
        <f>IF(AND('تسعير ديجيتال'!$V$23&gt;=P75,'تسعير ديجيتال'!$V$23&lt;=S75),TRUE,FALSE)</f>
        <v>0</v>
      </c>
      <c r="R75" s="331" t="b">
        <f>IF(AND('تسعير ديجيتال داخلي'!$V$23&gt;=P75,'تسعير ديجيتال داخلي'!$V$23&lt;=S75),TRUE,FALSE)</f>
        <v>0</v>
      </c>
      <c r="S75" s="329" t="str">
        <f>IFERROR(المطابع[[#This Row],[Column5]],"")</f>
        <v/>
      </c>
      <c r="T75" s="332" t="str">
        <f>IFERROR(المطابع[[#This Row],[Column6]],"")</f>
        <v/>
      </c>
      <c r="U75" s="333" t="str">
        <f>IFERROR(المطابع[[#This Row],[Column7]],"")</f>
        <v/>
      </c>
      <c r="V75" s="1"/>
      <c r="AA75" s="1"/>
    </row>
    <row r="76" spans="14:27" ht="18.75" thickBot="1" x14ac:dyDescent="0.25">
      <c r="N76" s="328" t="str">
        <f>IFERROR(المطابع[[#This Row],[Column2]],"")</f>
        <v/>
      </c>
      <c r="O76" s="329" t="str">
        <f>IFERROR(المطابع[[#This Row],[Column3]],"")</f>
        <v/>
      </c>
      <c r="P76" s="330" t="str">
        <f>IFERROR(المطابع[[#This Row],[Column4]],"")</f>
        <v/>
      </c>
      <c r="Q76" s="331" t="b">
        <f>IF(AND('تسعير ديجيتال'!$V$23&gt;=P76,'تسعير ديجيتال'!$V$23&lt;=S76),TRUE,FALSE)</f>
        <v>0</v>
      </c>
      <c r="R76" s="331" t="b">
        <f>IF(AND('تسعير ديجيتال داخلي'!$V$23&gt;=P76,'تسعير ديجيتال داخلي'!$V$23&lt;=S76),TRUE,FALSE)</f>
        <v>0</v>
      </c>
      <c r="S76" s="329" t="str">
        <f>IFERROR(المطابع[[#This Row],[Column5]],"")</f>
        <v/>
      </c>
      <c r="T76" s="332" t="str">
        <f>IFERROR(المطابع[[#This Row],[Column6]],"")</f>
        <v/>
      </c>
      <c r="U76" s="333" t="str">
        <f>IFERROR(المطابع[[#This Row],[Column7]],"")</f>
        <v/>
      </c>
      <c r="V76" s="1"/>
      <c r="AA76" s="1"/>
    </row>
    <row r="77" spans="14:27" ht="18.75" thickBot="1" x14ac:dyDescent="0.25">
      <c r="N77" s="328" t="str">
        <f>IFERROR(المطابع[[#This Row],[Column2]],"")</f>
        <v/>
      </c>
      <c r="O77" s="329" t="str">
        <f>IFERROR(المطابع[[#This Row],[Column3]],"")</f>
        <v/>
      </c>
      <c r="P77" s="330" t="str">
        <f>IFERROR(المطابع[[#This Row],[Column4]],"")</f>
        <v/>
      </c>
      <c r="Q77" s="331" t="b">
        <f>IF(AND('تسعير ديجيتال'!$V$23&gt;=P77,'تسعير ديجيتال'!$V$23&lt;=S77),TRUE,FALSE)</f>
        <v>0</v>
      </c>
      <c r="R77" s="331" t="b">
        <f>IF(AND('تسعير ديجيتال داخلي'!$V$23&gt;=P77,'تسعير ديجيتال داخلي'!$V$23&lt;=S77),TRUE,FALSE)</f>
        <v>0</v>
      </c>
      <c r="S77" s="329" t="str">
        <f>IFERROR(المطابع[[#This Row],[Column5]],"")</f>
        <v/>
      </c>
      <c r="T77" s="332" t="str">
        <f>IFERROR(المطابع[[#This Row],[Column6]],"")</f>
        <v/>
      </c>
      <c r="U77" s="333" t="str">
        <f>IFERROR(المطابع[[#This Row],[Column7]],"")</f>
        <v/>
      </c>
      <c r="V77" s="1"/>
      <c r="AA77" s="1"/>
    </row>
    <row r="78" spans="14:27" ht="18.75" thickBot="1" x14ac:dyDescent="0.25">
      <c r="N78" s="328" t="str">
        <f>IFERROR(المطابع[[#This Row],[Column2]],"")</f>
        <v/>
      </c>
      <c r="O78" s="329" t="str">
        <f>IFERROR(المطابع[[#This Row],[Column3]],"")</f>
        <v/>
      </c>
      <c r="P78" s="330" t="str">
        <f>IFERROR(المطابع[[#This Row],[Column4]],"")</f>
        <v/>
      </c>
      <c r="Q78" s="331" t="b">
        <f>IF(AND('تسعير ديجيتال'!$V$23&gt;=P78,'تسعير ديجيتال'!$V$23&lt;=S78),TRUE,FALSE)</f>
        <v>0</v>
      </c>
      <c r="R78" s="331" t="b">
        <f>IF(AND('تسعير ديجيتال داخلي'!$V$23&gt;=P78,'تسعير ديجيتال داخلي'!$V$23&lt;=S78),TRUE,FALSE)</f>
        <v>0</v>
      </c>
      <c r="S78" s="329" t="str">
        <f>IFERROR(المطابع[[#This Row],[Column5]],"")</f>
        <v/>
      </c>
      <c r="T78" s="332" t="str">
        <f>IFERROR(المطابع[[#This Row],[Column6]],"")</f>
        <v/>
      </c>
      <c r="U78" s="333" t="str">
        <f>IFERROR(المطابع[[#This Row],[Column7]],"")</f>
        <v/>
      </c>
      <c r="V78" s="1"/>
      <c r="AA78" s="1"/>
    </row>
    <row r="79" spans="14:27" ht="18.75" thickBot="1" x14ac:dyDescent="0.25">
      <c r="N79" s="328" t="str">
        <f>IFERROR(المطابع[[#This Row],[Column2]],"")</f>
        <v/>
      </c>
      <c r="O79" s="329" t="str">
        <f>IFERROR(المطابع[[#This Row],[Column3]],"")</f>
        <v/>
      </c>
      <c r="P79" s="330" t="str">
        <f>IFERROR(المطابع[[#This Row],[Column4]],"")</f>
        <v/>
      </c>
      <c r="Q79" s="331" t="b">
        <f>IF(AND('تسعير ديجيتال'!$V$23&gt;=P79,'تسعير ديجيتال'!$V$23&lt;=S79),TRUE,FALSE)</f>
        <v>0</v>
      </c>
      <c r="R79" s="331" t="b">
        <f>IF(AND('تسعير ديجيتال داخلي'!$V$23&gt;=P79,'تسعير ديجيتال داخلي'!$V$23&lt;=S79),TRUE,FALSE)</f>
        <v>0</v>
      </c>
      <c r="S79" s="329" t="str">
        <f>IFERROR(المطابع[[#This Row],[Column5]],"")</f>
        <v/>
      </c>
      <c r="T79" s="332" t="str">
        <f>IFERROR(المطابع[[#This Row],[Column6]],"")</f>
        <v/>
      </c>
      <c r="U79" s="333" t="str">
        <f>IFERROR(المطابع[[#This Row],[Column7]],"")</f>
        <v/>
      </c>
      <c r="V79" s="1"/>
      <c r="AA79" s="1"/>
    </row>
    <row r="80" spans="14:27" ht="18.75" thickBot="1" x14ac:dyDescent="0.25">
      <c r="N80" s="328" t="str">
        <f>IFERROR(المطابع[[#This Row],[Column2]],"")</f>
        <v/>
      </c>
      <c r="O80" s="329" t="str">
        <f>IFERROR(المطابع[[#This Row],[Column3]],"")</f>
        <v/>
      </c>
      <c r="P80" s="330" t="str">
        <f>IFERROR(المطابع[[#This Row],[Column4]],"")</f>
        <v/>
      </c>
      <c r="Q80" s="331" t="b">
        <f>IF(AND('تسعير ديجيتال'!$V$23&gt;=P80,'تسعير ديجيتال'!$V$23&lt;=S80),TRUE,FALSE)</f>
        <v>0</v>
      </c>
      <c r="R80" s="331" t="b">
        <f>IF(AND('تسعير ديجيتال داخلي'!$V$23&gt;=P80,'تسعير ديجيتال داخلي'!$V$23&lt;=S80),TRUE,FALSE)</f>
        <v>0</v>
      </c>
      <c r="S80" s="329" t="str">
        <f>IFERROR(المطابع[[#This Row],[Column5]],"")</f>
        <v/>
      </c>
      <c r="T80" s="332" t="str">
        <f>IFERROR(المطابع[[#This Row],[Column6]],"")</f>
        <v/>
      </c>
      <c r="U80" s="333" t="str">
        <f>IFERROR(المطابع[[#This Row],[Column7]],"")</f>
        <v/>
      </c>
      <c r="V80" s="1"/>
      <c r="AA80" s="1"/>
    </row>
    <row r="81" spans="14:27" ht="18.75" thickBot="1" x14ac:dyDescent="0.25">
      <c r="N81" s="328" t="str">
        <f>IFERROR(المطابع[[#This Row],[Column2]],"")</f>
        <v/>
      </c>
      <c r="O81" s="329" t="str">
        <f>IFERROR(المطابع[[#This Row],[Column3]],"")</f>
        <v/>
      </c>
      <c r="P81" s="330" t="str">
        <f>IFERROR(المطابع[[#This Row],[Column4]],"")</f>
        <v/>
      </c>
      <c r="Q81" s="331" t="b">
        <f>IF(AND('تسعير ديجيتال'!$V$23&gt;=P81,'تسعير ديجيتال'!$V$23&lt;=S81),TRUE,FALSE)</f>
        <v>0</v>
      </c>
      <c r="R81" s="331" t="b">
        <f>IF(AND('تسعير ديجيتال داخلي'!$V$23&gt;=P81,'تسعير ديجيتال داخلي'!$V$23&lt;=S81),TRUE,FALSE)</f>
        <v>0</v>
      </c>
      <c r="S81" s="329" t="str">
        <f>IFERROR(المطابع[[#This Row],[Column5]],"")</f>
        <v/>
      </c>
      <c r="T81" s="332" t="str">
        <f>IFERROR(المطابع[[#This Row],[Column6]],"")</f>
        <v/>
      </c>
      <c r="U81" s="333" t="str">
        <f>IFERROR(المطابع[[#This Row],[Column7]],"")</f>
        <v/>
      </c>
      <c r="V81" s="1"/>
      <c r="AA81" s="1"/>
    </row>
    <row r="82" spans="14:27" ht="18.75" thickBot="1" x14ac:dyDescent="0.25">
      <c r="N82" s="328" t="str">
        <f>IFERROR(المطابع[[#This Row],[Column2]],"")</f>
        <v/>
      </c>
      <c r="O82" s="329" t="str">
        <f>IFERROR(المطابع[[#This Row],[Column3]],"")</f>
        <v/>
      </c>
      <c r="P82" s="330" t="str">
        <f>IFERROR(المطابع[[#This Row],[Column4]],"")</f>
        <v/>
      </c>
      <c r="Q82" s="331" t="b">
        <f>IF(AND('تسعير ديجيتال'!$V$23&gt;=P82,'تسعير ديجيتال'!$V$23&lt;=S82),TRUE,FALSE)</f>
        <v>0</v>
      </c>
      <c r="R82" s="331" t="b">
        <f>IF(AND('تسعير ديجيتال داخلي'!$V$23&gt;=P82,'تسعير ديجيتال داخلي'!$V$23&lt;=S82),TRUE,FALSE)</f>
        <v>0</v>
      </c>
      <c r="S82" s="329" t="str">
        <f>IFERROR(المطابع[[#This Row],[Column5]],"")</f>
        <v/>
      </c>
      <c r="T82" s="332" t="str">
        <f>IFERROR(المطابع[[#This Row],[Column6]],"")</f>
        <v/>
      </c>
      <c r="U82" s="333" t="str">
        <f>IFERROR(المطابع[[#This Row],[Column7]],"")</f>
        <v/>
      </c>
      <c r="V82" s="1"/>
      <c r="AA82" s="1"/>
    </row>
    <row r="83" spans="14:27" ht="18.75" thickBot="1" x14ac:dyDescent="0.25">
      <c r="N83" s="328" t="str">
        <f>IFERROR(المطابع[[#This Row],[Column2]],"")</f>
        <v/>
      </c>
      <c r="O83" s="329" t="str">
        <f>IFERROR(المطابع[[#This Row],[Column3]],"")</f>
        <v/>
      </c>
      <c r="P83" s="330" t="str">
        <f>IFERROR(المطابع[[#This Row],[Column4]],"")</f>
        <v/>
      </c>
      <c r="Q83" s="331" t="b">
        <f>IF(AND('تسعير ديجيتال'!$V$23&gt;=P83,'تسعير ديجيتال'!$V$23&lt;=S83),TRUE,FALSE)</f>
        <v>0</v>
      </c>
      <c r="R83" s="331" t="b">
        <f>IF(AND('تسعير ديجيتال داخلي'!$V$23&gt;=P83,'تسعير ديجيتال داخلي'!$V$23&lt;=S83),TRUE,FALSE)</f>
        <v>0</v>
      </c>
      <c r="S83" s="329" t="str">
        <f>IFERROR(المطابع[[#This Row],[Column5]],"")</f>
        <v/>
      </c>
      <c r="T83" s="332" t="str">
        <f>IFERROR(المطابع[[#This Row],[Column6]],"")</f>
        <v/>
      </c>
      <c r="U83" s="333" t="str">
        <f>IFERROR(المطابع[[#This Row],[Column7]],"")</f>
        <v/>
      </c>
      <c r="V83" s="1"/>
      <c r="AA83" s="1"/>
    </row>
    <row r="84" spans="14:27" ht="18.75" thickBot="1" x14ac:dyDescent="0.25">
      <c r="N84" s="328" t="str">
        <f>IFERROR(المطابع[[#This Row],[Column2]],"")</f>
        <v/>
      </c>
      <c r="O84" s="329" t="str">
        <f>IFERROR(المطابع[[#This Row],[Column3]],"")</f>
        <v/>
      </c>
      <c r="P84" s="330" t="str">
        <f>IFERROR(المطابع[[#This Row],[Column4]],"")</f>
        <v/>
      </c>
      <c r="Q84" s="331" t="b">
        <f>IF(AND('تسعير ديجيتال'!$V$23&gt;=P84,'تسعير ديجيتال'!$V$23&lt;=S84),TRUE,FALSE)</f>
        <v>0</v>
      </c>
      <c r="R84" s="331" t="b">
        <f>IF(AND('تسعير ديجيتال داخلي'!$V$23&gt;=P84,'تسعير ديجيتال داخلي'!$V$23&lt;=S84),TRUE,FALSE)</f>
        <v>0</v>
      </c>
      <c r="S84" s="329" t="str">
        <f>IFERROR(المطابع[[#This Row],[Column5]],"")</f>
        <v/>
      </c>
      <c r="T84" s="332" t="str">
        <f>IFERROR(المطابع[[#This Row],[Column6]],"")</f>
        <v/>
      </c>
      <c r="U84" s="333" t="str">
        <f>IFERROR(المطابع[[#This Row],[Column7]],"")</f>
        <v/>
      </c>
      <c r="V84" s="1"/>
      <c r="AA84" s="1"/>
    </row>
    <row r="85" spans="14:27" ht="18.75" thickBot="1" x14ac:dyDescent="0.25">
      <c r="N85" s="328" t="str">
        <f>IFERROR(المطابع[[#This Row],[Column2]],"")</f>
        <v/>
      </c>
      <c r="O85" s="329" t="str">
        <f>IFERROR(المطابع[[#This Row],[Column3]],"")</f>
        <v/>
      </c>
      <c r="P85" s="330" t="str">
        <f>IFERROR(المطابع[[#This Row],[Column4]],"")</f>
        <v/>
      </c>
      <c r="Q85" s="331" t="b">
        <f>IF(AND('تسعير ديجيتال'!$V$23&gt;=P85,'تسعير ديجيتال'!$V$23&lt;=S85),TRUE,FALSE)</f>
        <v>0</v>
      </c>
      <c r="R85" s="331" t="b">
        <f>IF(AND('تسعير ديجيتال داخلي'!$V$23&gt;=P85,'تسعير ديجيتال داخلي'!$V$23&lt;=S85),TRUE,FALSE)</f>
        <v>0</v>
      </c>
      <c r="S85" s="329" t="str">
        <f>IFERROR(المطابع[[#This Row],[Column5]],"")</f>
        <v/>
      </c>
      <c r="T85" s="332" t="str">
        <f>IFERROR(المطابع[[#This Row],[Column6]],"")</f>
        <v/>
      </c>
      <c r="U85" s="333" t="str">
        <f>IFERROR(المطابع[[#This Row],[Column7]],"")</f>
        <v/>
      </c>
      <c r="V85" s="1"/>
      <c r="AA85" s="1"/>
    </row>
    <row r="86" spans="14:27" ht="18.75" thickBot="1" x14ac:dyDescent="0.25">
      <c r="N86" s="328" t="str">
        <f>IFERROR(المطابع[[#This Row],[Column2]],"")</f>
        <v/>
      </c>
      <c r="O86" s="329" t="str">
        <f>IFERROR(المطابع[[#This Row],[Column3]],"")</f>
        <v/>
      </c>
      <c r="P86" s="330" t="str">
        <f>IFERROR(المطابع[[#This Row],[Column4]],"")</f>
        <v/>
      </c>
      <c r="Q86" s="331" t="b">
        <f>IF(AND('تسعير ديجيتال'!$V$23&gt;=P86,'تسعير ديجيتال'!$V$23&lt;=S86),TRUE,FALSE)</f>
        <v>0</v>
      </c>
      <c r="R86" s="331" t="b">
        <f>IF(AND('تسعير ديجيتال داخلي'!$V$23&gt;=P86,'تسعير ديجيتال داخلي'!$V$23&lt;=S86),TRUE,FALSE)</f>
        <v>0</v>
      </c>
      <c r="S86" s="329" t="str">
        <f>IFERROR(المطابع[[#This Row],[Column5]],"")</f>
        <v/>
      </c>
      <c r="T86" s="332" t="str">
        <f>IFERROR(المطابع[[#This Row],[Column6]],"")</f>
        <v/>
      </c>
      <c r="U86" s="333" t="str">
        <f>IFERROR(المطابع[[#This Row],[Column7]],"")</f>
        <v/>
      </c>
      <c r="V86" s="1"/>
      <c r="AA86" s="1"/>
    </row>
    <row r="87" spans="14:27" ht="18.75" thickBot="1" x14ac:dyDescent="0.25">
      <c r="N87" s="328" t="str">
        <f>IFERROR(المطابع[[#This Row],[Column2]],"")</f>
        <v/>
      </c>
      <c r="O87" s="329" t="str">
        <f>IFERROR(المطابع[[#This Row],[Column3]],"")</f>
        <v/>
      </c>
      <c r="P87" s="330" t="str">
        <f>IFERROR(المطابع[[#This Row],[Column4]],"")</f>
        <v/>
      </c>
      <c r="Q87" s="331" t="b">
        <f>IF(AND('تسعير ديجيتال'!$V$23&gt;=P87,'تسعير ديجيتال'!$V$23&lt;=S87),TRUE,FALSE)</f>
        <v>0</v>
      </c>
      <c r="R87" s="331" t="b">
        <f>IF(AND('تسعير ديجيتال داخلي'!$V$23&gt;=P87,'تسعير ديجيتال داخلي'!$V$23&lt;=S87),TRUE,FALSE)</f>
        <v>0</v>
      </c>
      <c r="S87" s="329" t="str">
        <f>IFERROR(المطابع[[#This Row],[Column5]],"")</f>
        <v/>
      </c>
      <c r="T87" s="332" t="str">
        <f>IFERROR(المطابع[[#This Row],[Column6]],"")</f>
        <v/>
      </c>
      <c r="U87" s="333" t="str">
        <f>IFERROR(المطابع[[#This Row],[Column7]],"")</f>
        <v/>
      </c>
      <c r="V87" s="1"/>
      <c r="AA87" s="1"/>
    </row>
    <row r="88" spans="14:27" ht="18.75" thickBot="1" x14ac:dyDescent="0.25">
      <c r="N88" s="328" t="str">
        <f>IFERROR(المطابع[[#This Row],[Column2]],"")</f>
        <v/>
      </c>
      <c r="O88" s="329" t="str">
        <f>IFERROR(المطابع[[#This Row],[Column3]],"")</f>
        <v/>
      </c>
      <c r="P88" s="330" t="str">
        <f>IFERROR(المطابع[[#This Row],[Column4]],"")</f>
        <v/>
      </c>
      <c r="Q88" s="331" t="b">
        <f>IF(AND('تسعير ديجيتال'!$V$23&gt;=P88,'تسعير ديجيتال'!$V$23&lt;=S88),TRUE,FALSE)</f>
        <v>0</v>
      </c>
      <c r="R88" s="331" t="b">
        <f>IF(AND('تسعير ديجيتال داخلي'!$V$23&gt;=P88,'تسعير ديجيتال داخلي'!$V$23&lt;=S88),TRUE,FALSE)</f>
        <v>0</v>
      </c>
      <c r="S88" s="329" t="str">
        <f>IFERROR(المطابع[[#This Row],[Column5]],"")</f>
        <v/>
      </c>
      <c r="T88" s="332" t="str">
        <f>IFERROR(المطابع[[#This Row],[Column6]],"")</f>
        <v/>
      </c>
      <c r="U88" s="333" t="str">
        <f>IFERROR(المطابع[[#This Row],[Column7]],"")</f>
        <v/>
      </c>
      <c r="V88" s="1"/>
      <c r="AA88" s="1"/>
    </row>
    <row r="89" spans="14:27" ht="18.75" thickBot="1" x14ac:dyDescent="0.25">
      <c r="N89" s="328" t="str">
        <f>IFERROR(المطابع[[#This Row],[Column2]],"")</f>
        <v/>
      </c>
      <c r="O89" s="329" t="str">
        <f>IFERROR(المطابع[[#This Row],[Column3]],"")</f>
        <v/>
      </c>
      <c r="P89" s="330" t="str">
        <f>IFERROR(المطابع[[#This Row],[Column4]],"")</f>
        <v/>
      </c>
      <c r="Q89" s="331" t="b">
        <f>IF(AND('تسعير ديجيتال'!$V$23&gt;=P89,'تسعير ديجيتال'!$V$23&lt;=S89),TRUE,FALSE)</f>
        <v>0</v>
      </c>
      <c r="R89" s="331" t="b">
        <f>IF(AND('تسعير ديجيتال داخلي'!$V$23&gt;=P89,'تسعير ديجيتال داخلي'!$V$23&lt;=S89),TRUE,FALSE)</f>
        <v>0</v>
      </c>
      <c r="S89" s="329" t="str">
        <f>IFERROR(المطابع[[#This Row],[Column5]],"")</f>
        <v/>
      </c>
      <c r="T89" s="332" t="str">
        <f>IFERROR(المطابع[[#This Row],[Column6]],"")</f>
        <v/>
      </c>
      <c r="U89" s="333" t="str">
        <f>IFERROR(المطابع[[#This Row],[Column7]],"")</f>
        <v/>
      </c>
      <c r="V89" s="1"/>
      <c r="AA89" s="1"/>
    </row>
    <row r="90" spans="14:27" ht="18.75" thickBot="1" x14ac:dyDescent="0.25">
      <c r="N90" s="328" t="str">
        <f>IFERROR(المطابع[[#This Row],[Column2]],"")</f>
        <v/>
      </c>
      <c r="O90" s="329" t="str">
        <f>IFERROR(المطابع[[#This Row],[Column3]],"")</f>
        <v/>
      </c>
      <c r="P90" s="330" t="str">
        <f>IFERROR(المطابع[[#This Row],[Column4]],"")</f>
        <v/>
      </c>
      <c r="Q90" s="331" t="b">
        <f>IF(AND('تسعير ديجيتال'!$V$23&gt;=P90,'تسعير ديجيتال'!$V$23&lt;=S90),TRUE,FALSE)</f>
        <v>0</v>
      </c>
      <c r="R90" s="331" t="b">
        <f>IF(AND('تسعير ديجيتال داخلي'!$V$23&gt;=P90,'تسعير ديجيتال داخلي'!$V$23&lt;=S90),TRUE,FALSE)</f>
        <v>0</v>
      </c>
      <c r="S90" s="329" t="str">
        <f>IFERROR(المطابع[[#This Row],[Column5]],"")</f>
        <v/>
      </c>
      <c r="T90" s="332" t="str">
        <f>IFERROR(المطابع[[#This Row],[Column6]],"")</f>
        <v/>
      </c>
      <c r="U90" s="333" t="str">
        <f>IFERROR(المطابع[[#This Row],[Column7]],"")</f>
        <v/>
      </c>
      <c r="V90" s="1"/>
      <c r="AA90" s="1"/>
    </row>
    <row r="91" spans="14:27" ht="18.75" thickBot="1" x14ac:dyDescent="0.25">
      <c r="N91" s="328" t="str">
        <f>IFERROR(المطابع[[#This Row],[Column2]],"")</f>
        <v/>
      </c>
      <c r="O91" s="329" t="str">
        <f>IFERROR(المطابع[[#This Row],[Column3]],"")</f>
        <v/>
      </c>
      <c r="P91" s="330" t="str">
        <f>IFERROR(المطابع[[#This Row],[Column4]],"")</f>
        <v/>
      </c>
      <c r="Q91" s="331" t="b">
        <f>IF(AND('تسعير ديجيتال'!$V$23&gt;=P91,'تسعير ديجيتال'!$V$23&lt;=S91),TRUE,FALSE)</f>
        <v>0</v>
      </c>
      <c r="R91" s="331" t="b">
        <f>IF(AND('تسعير ديجيتال داخلي'!$V$23&gt;=P91,'تسعير ديجيتال داخلي'!$V$23&lt;=S91),TRUE,FALSE)</f>
        <v>0</v>
      </c>
      <c r="S91" s="329" t="str">
        <f>IFERROR(المطابع[[#This Row],[Column5]],"")</f>
        <v/>
      </c>
      <c r="T91" s="332" t="str">
        <f>IFERROR(المطابع[[#This Row],[Column6]],"")</f>
        <v/>
      </c>
      <c r="U91" s="333" t="str">
        <f>IFERROR(المطابع[[#This Row],[Column7]],"")</f>
        <v/>
      </c>
      <c r="V91" s="1"/>
      <c r="AA91" s="1"/>
    </row>
    <row r="92" spans="14:27" ht="18.75" thickBot="1" x14ac:dyDescent="0.25">
      <c r="N92" s="328" t="str">
        <f>IFERROR(المطابع[[#This Row],[Column2]],"")</f>
        <v/>
      </c>
      <c r="O92" s="329" t="str">
        <f>IFERROR(المطابع[[#This Row],[Column3]],"")</f>
        <v/>
      </c>
      <c r="P92" s="330" t="str">
        <f>IFERROR(المطابع[[#This Row],[Column4]],"")</f>
        <v/>
      </c>
      <c r="Q92" s="331" t="b">
        <f>IF(AND('تسعير ديجيتال'!$V$23&gt;=P92,'تسعير ديجيتال'!$V$23&lt;=S92),TRUE,FALSE)</f>
        <v>0</v>
      </c>
      <c r="R92" s="331" t="b">
        <f>IF(AND('تسعير ديجيتال داخلي'!$V$23&gt;=P92,'تسعير ديجيتال داخلي'!$V$23&lt;=S92),TRUE,FALSE)</f>
        <v>0</v>
      </c>
      <c r="S92" s="329" t="str">
        <f>IFERROR(المطابع[[#This Row],[Column5]],"")</f>
        <v/>
      </c>
      <c r="T92" s="332" t="str">
        <f>IFERROR(المطابع[[#This Row],[Column6]],"")</f>
        <v/>
      </c>
      <c r="U92" s="333" t="str">
        <f>IFERROR(المطابع[[#This Row],[Column7]],"")</f>
        <v/>
      </c>
      <c r="V92" s="1"/>
      <c r="AA92" s="1"/>
    </row>
    <row r="93" spans="14:27" ht="18.75" thickBot="1" x14ac:dyDescent="0.25">
      <c r="N93" s="328" t="str">
        <f>IFERROR(المطابع[[#This Row],[Column2]],"")</f>
        <v/>
      </c>
      <c r="O93" s="329" t="str">
        <f>IFERROR(المطابع[[#This Row],[Column3]],"")</f>
        <v/>
      </c>
      <c r="P93" s="330" t="str">
        <f>IFERROR(المطابع[[#This Row],[Column4]],"")</f>
        <v/>
      </c>
      <c r="Q93" s="331" t="b">
        <f>IF(AND('تسعير ديجيتال'!$V$23&gt;=P93,'تسعير ديجيتال'!$V$23&lt;=S93),TRUE,FALSE)</f>
        <v>0</v>
      </c>
      <c r="R93" s="331" t="b">
        <f>IF(AND('تسعير ديجيتال داخلي'!$V$23&gt;=P93,'تسعير ديجيتال داخلي'!$V$23&lt;=S93),TRUE,FALSE)</f>
        <v>0</v>
      </c>
      <c r="S93" s="329" t="str">
        <f>IFERROR(المطابع[[#This Row],[Column5]],"")</f>
        <v/>
      </c>
      <c r="T93" s="332" t="str">
        <f>IFERROR(المطابع[[#This Row],[Column6]],"")</f>
        <v/>
      </c>
      <c r="U93" s="333" t="str">
        <f>IFERROR(المطابع[[#This Row],[Column7]],"")</f>
        <v/>
      </c>
      <c r="V93" s="1"/>
      <c r="AA93" s="1"/>
    </row>
    <row r="94" spans="14:27" ht="18.75" thickBot="1" x14ac:dyDescent="0.25">
      <c r="N94" s="328" t="str">
        <f>IFERROR(المطابع[[#This Row],[Column2]],"")</f>
        <v/>
      </c>
      <c r="O94" s="329" t="str">
        <f>IFERROR(المطابع[[#This Row],[Column3]],"")</f>
        <v/>
      </c>
      <c r="P94" s="330" t="str">
        <f>IFERROR(المطابع[[#This Row],[Column4]],"")</f>
        <v/>
      </c>
      <c r="Q94" s="331" t="b">
        <f>IF(AND('تسعير ديجيتال'!$V$23&gt;=P94,'تسعير ديجيتال'!$V$23&lt;=S94),TRUE,FALSE)</f>
        <v>0</v>
      </c>
      <c r="R94" s="331" t="b">
        <f>IF(AND('تسعير ديجيتال داخلي'!$V$23&gt;=P94,'تسعير ديجيتال داخلي'!$V$23&lt;=S94),TRUE,FALSE)</f>
        <v>0</v>
      </c>
      <c r="S94" s="329" t="str">
        <f>IFERROR(المطابع[[#This Row],[Column5]],"")</f>
        <v/>
      </c>
      <c r="T94" s="332" t="str">
        <f>IFERROR(المطابع[[#This Row],[Column6]],"")</f>
        <v/>
      </c>
      <c r="U94" s="333" t="str">
        <f>IFERROR(المطابع[[#This Row],[Column7]],"")</f>
        <v/>
      </c>
      <c r="V94" s="1"/>
      <c r="AA94" s="1"/>
    </row>
    <row r="95" spans="14:27" ht="18.75" thickBot="1" x14ac:dyDescent="0.25">
      <c r="N95" s="328" t="str">
        <f>IFERROR(المطابع[[#This Row],[Column2]],"")</f>
        <v/>
      </c>
      <c r="O95" s="329" t="str">
        <f>IFERROR(المطابع[[#This Row],[Column3]],"")</f>
        <v/>
      </c>
      <c r="P95" s="330" t="str">
        <f>IFERROR(المطابع[[#This Row],[Column4]],"")</f>
        <v/>
      </c>
      <c r="Q95" s="331" t="b">
        <f>IF(AND('تسعير ديجيتال'!$V$23&gt;=P95,'تسعير ديجيتال'!$V$23&lt;=S95),TRUE,FALSE)</f>
        <v>0</v>
      </c>
      <c r="R95" s="331" t="b">
        <f>IF(AND('تسعير ديجيتال داخلي'!$V$23&gt;=P95,'تسعير ديجيتال داخلي'!$V$23&lt;=S95),TRUE,FALSE)</f>
        <v>0</v>
      </c>
      <c r="S95" s="329" t="str">
        <f>IFERROR(المطابع[[#This Row],[Column5]],"")</f>
        <v/>
      </c>
      <c r="T95" s="332" t="str">
        <f>IFERROR(المطابع[[#This Row],[Column6]],"")</f>
        <v/>
      </c>
      <c r="U95" s="333" t="str">
        <f>IFERROR(المطابع[[#This Row],[Column7]],"")</f>
        <v/>
      </c>
      <c r="V95" s="1"/>
      <c r="AA95" s="1"/>
    </row>
    <row r="96" spans="14:27" ht="18.75" thickBot="1" x14ac:dyDescent="0.25">
      <c r="N96" s="328" t="str">
        <f>IFERROR(المطابع[[#This Row],[Column2]],"")</f>
        <v/>
      </c>
      <c r="O96" s="329" t="str">
        <f>IFERROR(المطابع[[#This Row],[Column3]],"")</f>
        <v/>
      </c>
      <c r="P96" s="330" t="str">
        <f>IFERROR(المطابع[[#This Row],[Column4]],"")</f>
        <v/>
      </c>
      <c r="Q96" s="331" t="b">
        <f>IF(AND('تسعير ديجيتال'!$V$23&gt;=P96,'تسعير ديجيتال'!$V$23&lt;=S96),TRUE,FALSE)</f>
        <v>0</v>
      </c>
      <c r="R96" s="331" t="b">
        <f>IF(AND('تسعير ديجيتال داخلي'!$V$23&gt;=P96,'تسعير ديجيتال داخلي'!$V$23&lt;=S96),TRUE,FALSE)</f>
        <v>0</v>
      </c>
      <c r="S96" s="329" t="str">
        <f>IFERROR(المطابع[[#This Row],[Column5]],"")</f>
        <v/>
      </c>
      <c r="T96" s="332" t="str">
        <f>IFERROR(المطابع[[#This Row],[Column6]],"")</f>
        <v/>
      </c>
      <c r="U96" s="333" t="str">
        <f>IFERROR(المطابع[[#This Row],[Column7]],"")</f>
        <v/>
      </c>
      <c r="V96" s="1"/>
      <c r="AA96" s="1"/>
    </row>
    <row r="97" spans="14:27" ht="18.75" thickBot="1" x14ac:dyDescent="0.25">
      <c r="N97" s="328" t="str">
        <f>IFERROR(المطابع[[#This Row],[Column2]],"")</f>
        <v/>
      </c>
      <c r="O97" s="329" t="str">
        <f>IFERROR(المطابع[[#This Row],[Column3]],"")</f>
        <v/>
      </c>
      <c r="P97" s="330" t="str">
        <f>IFERROR(المطابع[[#This Row],[Column4]],"")</f>
        <v/>
      </c>
      <c r="Q97" s="331" t="b">
        <f>IF(AND('تسعير ديجيتال'!$V$23&gt;=P97,'تسعير ديجيتال'!$V$23&lt;=S97),TRUE,FALSE)</f>
        <v>0</v>
      </c>
      <c r="R97" s="331" t="b">
        <f>IF(AND('تسعير ديجيتال داخلي'!$V$23&gt;=P97,'تسعير ديجيتال داخلي'!$V$23&lt;=S97),TRUE,FALSE)</f>
        <v>0</v>
      </c>
      <c r="S97" s="329" t="str">
        <f>IFERROR(المطابع[[#This Row],[Column5]],"")</f>
        <v/>
      </c>
      <c r="T97" s="332" t="str">
        <f>IFERROR(المطابع[[#This Row],[Column6]],"")</f>
        <v/>
      </c>
      <c r="U97" s="333" t="str">
        <f>IFERROR(المطابع[[#This Row],[Column7]],"")</f>
        <v/>
      </c>
      <c r="V97" s="1"/>
      <c r="AA97" s="1"/>
    </row>
    <row r="98" spans="14:27" ht="18.75" thickBot="1" x14ac:dyDescent="0.25">
      <c r="N98" s="328" t="str">
        <f>IFERROR(المطابع[[#This Row],[Column2]],"")</f>
        <v/>
      </c>
      <c r="O98" s="329" t="str">
        <f>IFERROR(المطابع[[#This Row],[Column3]],"")</f>
        <v/>
      </c>
      <c r="P98" s="330" t="str">
        <f>IFERROR(المطابع[[#This Row],[Column4]],"")</f>
        <v/>
      </c>
      <c r="Q98" s="331" t="b">
        <f>IF(AND('تسعير ديجيتال'!$V$23&gt;=P98,'تسعير ديجيتال'!$V$23&lt;=S98),TRUE,FALSE)</f>
        <v>0</v>
      </c>
      <c r="R98" s="331" t="b">
        <f>IF(AND('تسعير ديجيتال داخلي'!$V$23&gt;=P98,'تسعير ديجيتال داخلي'!$V$23&lt;=S98),TRUE,FALSE)</f>
        <v>0</v>
      </c>
      <c r="S98" s="329" t="str">
        <f>IFERROR(المطابع[[#This Row],[Column5]],"")</f>
        <v/>
      </c>
      <c r="T98" s="332" t="str">
        <f>IFERROR(المطابع[[#This Row],[Column6]],"")</f>
        <v/>
      </c>
      <c r="U98" s="333" t="str">
        <f>IFERROR(المطابع[[#This Row],[Column7]],"")</f>
        <v/>
      </c>
      <c r="V98" s="1"/>
      <c r="AA98" s="1"/>
    </row>
    <row r="99" spans="14:27" ht="18.75" thickBot="1" x14ac:dyDescent="0.25">
      <c r="N99" s="328" t="str">
        <f>IFERROR(المطابع[[#This Row],[Column2]],"")</f>
        <v/>
      </c>
      <c r="O99" s="329" t="str">
        <f>IFERROR(المطابع[[#This Row],[Column3]],"")</f>
        <v/>
      </c>
      <c r="P99" s="330" t="str">
        <f>IFERROR(المطابع[[#This Row],[Column4]],"")</f>
        <v/>
      </c>
      <c r="Q99" s="331" t="b">
        <f>IF(AND('تسعير ديجيتال'!$V$23&gt;=P99,'تسعير ديجيتال'!$V$23&lt;=S99),TRUE,FALSE)</f>
        <v>0</v>
      </c>
      <c r="R99" s="331" t="b">
        <f>IF(AND('تسعير ديجيتال داخلي'!$V$23&gt;=P99,'تسعير ديجيتال داخلي'!$V$23&lt;=S99),TRUE,FALSE)</f>
        <v>0</v>
      </c>
      <c r="S99" s="329" t="str">
        <f>IFERROR(المطابع[[#This Row],[Column5]],"")</f>
        <v/>
      </c>
      <c r="T99" s="332" t="str">
        <f>IFERROR(المطابع[[#This Row],[Column6]],"")</f>
        <v/>
      </c>
      <c r="U99" s="333" t="str">
        <f>IFERROR(المطابع[[#This Row],[Column7]],"")</f>
        <v/>
      </c>
      <c r="V99" s="1"/>
      <c r="AA99" s="1"/>
    </row>
    <row r="100" spans="14:27" ht="18.75" thickBot="1" x14ac:dyDescent="0.25">
      <c r="N100" s="328" t="str">
        <f>IFERROR(المطابع[[#This Row],[Column2]],"")</f>
        <v/>
      </c>
      <c r="O100" s="329" t="str">
        <f>IFERROR(المطابع[[#This Row],[Column3]],"")</f>
        <v/>
      </c>
      <c r="P100" s="330" t="str">
        <f>IFERROR(المطابع[[#This Row],[Column4]],"")</f>
        <v/>
      </c>
      <c r="Q100" s="331" t="b">
        <f>IF(AND('تسعير ديجيتال'!$V$23&gt;=P100,'تسعير ديجيتال'!$V$23&lt;=S100),TRUE,FALSE)</f>
        <v>0</v>
      </c>
      <c r="R100" s="331" t="b">
        <f>IF(AND('تسعير ديجيتال داخلي'!$V$23&gt;=P100,'تسعير ديجيتال داخلي'!$V$23&lt;=S100),TRUE,FALSE)</f>
        <v>0</v>
      </c>
      <c r="S100" s="329" t="str">
        <f>IFERROR(المطابع[[#This Row],[Column5]],"")</f>
        <v/>
      </c>
      <c r="T100" s="332" t="str">
        <f>IFERROR(المطابع[[#This Row],[Column6]],"")</f>
        <v/>
      </c>
      <c r="U100" s="333" t="str">
        <f>IFERROR(المطابع[[#This Row],[Column7]],"")</f>
        <v/>
      </c>
      <c r="V100" s="1"/>
      <c r="AA100" s="1"/>
    </row>
    <row r="101" spans="14:27" ht="18.75" thickBot="1" x14ac:dyDescent="0.25">
      <c r="N101" s="328" t="str">
        <f>IFERROR(المطابع[[#This Row],[Column2]],"")</f>
        <v/>
      </c>
      <c r="O101" s="329" t="str">
        <f>IFERROR(المطابع[[#This Row],[Column3]],"")</f>
        <v/>
      </c>
      <c r="P101" s="330" t="str">
        <f>IFERROR(المطابع[[#This Row],[Column4]],"")</f>
        <v/>
      </c>
      <c r="Q101" s="331" t="b">
        <f>IF(AND('تسعير ديجيتال'!$V$23&gt;=P101,'تسعير ديجيتال'!$V$23&lt;=S101),TRUE,FALSE)</f>
        <v>0</v>
      </c>
      <c r="R101" s="331" t="b">
        <f>IF(AND('تسعير ديجيتال داخلي'!$V$23&gt;=P101,'تسعير ديجيتال داخلي'!$V$23&lt;=S101),TRUE,FALSE)</f>
        <v>0</v>
      </c>
      <c r="S101" s="329" t="str">
        <f>IFERROR(المطابع[[#This Row],[Column5]],"")</f>
        <v/>
      </c>
      <c r="T101" s="332" t="str">
        <f>IFERROR(المطابع[[#This Row],[Column6]],"")</f>
        <v/>
      </c>
      <c r="U101" s="333" t="str">
        <f>IFERROR(المطابع[[#This Row],[Column7]],"")</f>
        <v/>
      </c>
      <c r="V101" s="1"/>
      <c r="AA101" s="1"/>
    </row>
    <row r="102" spans="14:27" ht="18.75" thickBot="1" x14ac:dyDescent="0.25">
      <c r="N102" s="328" t="str">
        <f>IFERROR(المطابع[[#This Row],[Column2]],"")</f>
        <v/>
      </c>
      <c r="O102" s="329" t="str">
        <f>IFERROR(المطابع[[#This Row],[Column3]],"")</f>
        <v/>
      </c>
      <c r="P102" s="330" t="str">
        <f>IFERROR(المطابع[[#This Row],[Column4]],"")</f>
        <v/>
      </c>
      <c r="Q102" s="331" t="b">
        <f>IF(AND('تسعير ديجيتال'!$V$23&gt;=P102,'تسعير ديجيتال'!$V$23&lt;=S102),TRUE,FALSE)</f>
        <v>0</v>
      </c>
      <c r="R102" s="331" t="b">
        <f>IF(AND('تسعير ديجيتال داخلي'!$V$23&gt;=P102,'تسعير ديجيتال داخلي'!$V$23&lt;=S102),TRUE,FALSE)</f>
        <v>0</v>
      </c>
      <c r="S102" s="329" t="str">
        <f>IFERROR(المطابع[[#This Row],[Column5]],"")</f>
        <v/>
      </c>
      <c r="T102" s="332" t="str">
        <f>IFERROR(المطابع[[#This Row],[Column6]],"")</f>
        <v/>
      </c>
      <c r="U102" s="333" t="str">
        <f>IFERROR(المطابع[[#This Row],[Column7]],"")</f>
        <v/>
      </c>
      <c r="V102" s="1"/>
      <c r="AA102" s="1"/>
    </row>
    <row r="103" spans="14:27" ht="18.75" thickBot="1" x14ac:dyDescent="0.25">
      <c r="N103" s="328" t="str">
        <f>IFERROR(المطابع[[#This Row],[Column2]],"")</f>
        <v/>
      </c>
      <c r="O103" s="329" t="str">
        <f>IFERROR(المطابع[[#This Row],[Column3]],"")</f>
        <v/>
      </c>
      <c r="P103" s="330" t="str">
        <f>IFERROR(المطابع[[#This Row],[Column4]],"")</f>
        <v/>
      </c>
      <c r="Q103" s="331" t="b">
        <f>IF(AND('تسعير ديجيتال'!$V$23&gt;=P103,'تسعير ديجيتال'!$V$23&lt;=S103),TRUE,FALSE)</f>
        <v>0</v>
      </c>
      <c r="R103" s="331" t="b">
        <f>IF(AND('تسعير ديجيتال داخلي'!$V$23&gt;=P103,'تسعير ديجيتال داخلي'!$V$23&lt;=S103),TRUE,FALSE)</f>
        <v>0</v>
      </c>
      <c r="S103" s="329" t="str">
        <f>IFERROR(المطابع[[#This Row],[Column5]],"")</f>
        <v/>
      </c>
      <c r="T103" s="332" t="str">
        <f>IFERROR(المطابع[[#This Row],[Column6]],"")</f>
        <v/>
      </c>
      <c r="U103" s="333" t="str">
        <f>IFERROR(المطابع[[#This Row],[Column7]],"")</f>
        <v/>
      </c>
      <c r="V103" s="1"/>
      <c r="AA103" s="1"/>
    </row>
    <row r="104" spans="14:27" ht="18.75" thickBot="1" x14ac:dyDescent="0.25">
      <c r="N104" s="328" t="str">
        <f>IFERROR(المطابع[[#This Row],[Column2]],"")</f>
        <v/>
      </c>
      <c r="O104" s="329" t="str">
        <f>IFERROR(المطابع[[#This Row],[Column3]],"")</f>
        <v/>
      </c>
      <c r="P104" s="330" t="str">
        <f>IFERROR(المطابع[[#This Row],[Column4]],"")</f>
        <v/>
      </c>
      <c r="Q104" s="331" t="b">
        <f>IF(AND('تسعير ديجيتال'!$V$23&gt;=P104,'تسعير ديجيتال'!$V$23&lt;=S104),TRUE,FALSE)</f>
        <v>0</v>
      </c>
      <c r="R104" s="331" t="b">
        <f>IF(AND('تسعير ديجيتال داخلي'!$V$23&gt;=P104,'تسعير ديجيتال داخلي'!$V$23&lt;=S104),TRUE,FALSE)</f>
        <v>0</v>
      </c>
      <c r="S104" s="329" t="str">
        <f>IFERROR(المطابع[[#This Row],[Column5]],"")</f>
        <v/>
      </c>
      <c r="T104" s="332" t="str">
        <f>IFERROR(المطابع[[#This Row],[Column6]],"")</f>
        <v/>
      </c>
      <c r="U104" s="333" t="str">
        <f>IFERROR(المطابع[[#This Row],[Column7]],"")</f>
        <v/>
      </c>
      <c r="V104" s="1"/>
      <c r="AA104" s="1"/>
    </row>
    <row r="105" spans="14:27" ht="18.75" thickBot="1" x14ac:dyDescent="0.25">
      <c r="N105" s="328" t="str">
        <f>IFERROR(المطابع[[#This Row],[Column2]],"")</f>
        <v/>
      </c>
      <c r="O105" s="329" t="str">
        <f>IFERROR(المطابع[[#This Row],[Column3]],"")</f>
        <v/>
      </c>
      <c r="P105" s="330" t="str">
        <f>IFERROR(المطابع[[#This Row],[Column4]],"")</f>
        <v/>
      </c>
      <c r="Q105" s="331" t="b">
        <f>IF(AND('تسعير ديجيتال'!$V$23&gt;=P105,'تسعير ديجيتال'!$V$23&lt;=S105),TRUE,FALSE)</f>
        <v>0</v>
      </c>
      <c r="R105" s="331" t="b">
        <f>IF(AND('تسعير ديجيتال داخلي'!$V$23&gt;=P105,'تسعير ديجيتال داخلي'!$V$23&lt;=S105),TRUE,FALSE)</f>
        <v>0</v>
      </c>
      <c r="S105" s="329" t="str">
        <f>IFERROR(المطابع[[#This Row],[Column5]],"")</f>
        <v/>
      </c>
      <c r="T105" s="332" t="str">
        <f>IFERROR(المطابع[[#This Row],[Column6]],"")</f>
        <v/>
      </c>
      <c r="U105" s="333" t="str">
        <f>IFERROR(المطابع[[#This Row],[Column7]],"")</f>
        <v/>
      </c>
      <c r="V105" s="1"/>
      <c r="AA105" s="1"/>
    </row>
    <row r="106" spans="14:27" ht="18.75" thickBot="1" x14ac:dyDescent="0.25">
      <c r="N106" s="328" t="str">
        <f>IFERROR(المطابع[[#This Row],[Column2]],"")</f>
        <v/>
      </c>
      <c r="O106" s="329" t="str">
        <f>IFERROR(المطابع[[#This Row],[Column3]],"")</f>
        <v/>
      </c>
      <c r="P106" s="330" t="str">
        <f>IFERROR(المطابع[[#This Row],[Column4]],"")</f>
        <v/>
      </c>
      <c r="Q106" s="331" t="b">
        <f>IF(AND('تسعير ديجيتال'!$V$23&gt;=P106,'تسعير ديجيتال'!$V$23&lt;=S106),TRUE,FALSE)</f>
        <v>0</v>
      </c>
      <c r="R106" s="331" t="b">
        <f>IF(AND('تسعير ديجيتال داخلي'!$V$23&gt;=P106,'تسعير ديجيتال داخلي'!$V$23&lt;=S106),TRUE,FALSE)</f>
        <v>0</v>
      </c>
      <c r="S106" s="329" t="str">
        <f>IFERROR(المطابع[[#This Row],[Column5]],"")</f>
        <v/>
      </c>
      <c r="T106" s="332" t="str">
        <f>IFERROR(المطابع[[#This Row],[Column6]],"")</f>
        <v/>
      </c>
      <c r="U106" s="333" t="str">
        <f>IFERROR(المطابع[[#This Row],[Column7]],"")</f>
        <v/>
      </c>
      <c r="V106" s="1"/>
      <c r="AA106" s="1"/>
    </row>
    <row r="107" spans="14:27" ht="18.75" thickBot="1" x14ac:dyDescent="0.25">
      <c r="N107" s="328" t="str">
        <f>IFERROR(المطابع[[#This Row],[Column2]],"")</f>
        <v/>
      </c>
      <c r="O107" s="329" t="str">
        <f>IFERROR(المطابع[[#This Row],[Column3]],"")</f>
        <v/>
      </c>
      <c r="P107" s="330" t="str">
        <f>IFERROR(المطابع[[#This Row],[Column4]],"")</f>
        <v/>
      </c>
      <c r="Q107" s="331" t="b">
        <f>IF(AND('تسعير ديجيتال'!$V$23&gt;=P107,'تسعير ديجيتال'!$V$23&lt;=S107),TRUE,FALSE)</f>
        <v>0</v>
      </c>
      <c r="R107" s="331" t="b">
        <f>IF(AND('تسعير ديجيتال داخلي'!$V$23&gt;=P107,'تسعير ديجيتال داخلي'!$V$23&lt;=S107),TRUE,FALSE)</f>
        <v>0</v>
      </c>
      <c r="S107" s="329" t="str">
        <f>IFERROR(المطابع[[#This Row],[Column5]],"")</f>
        <v/>
      </c>
      <c r="T107" s="332" t="str">
        <f>IFERROR(المطابع[[#This Row],[Column6]],"")</f>
        <v/>
      </c>
      <c r="U107" s="333" t="str">
        <f>IFERROR(المطابع[[#This Row],[Column7]],"")</f>
        <v/>
      </c>
      <c r="V107" s="1"/>
      <c r="AA107" s="1"/>
    </row>
    <row r="108" spans="14:27" ht="18" x14ac:dyDescent="0.2">
      <c r="N108" s="340" t="str">
        <f>IFERROR(المطابع[[#This Row],[Column2]],"")</f>
        <v/>
      </c>
      <c r="O108" s="335" t="str">
        <f>IFERROR(المطابع[[#This Row],[Column3]],"")</f>
        <v/>
      </c>
      <c r="P108" s="341" t="str">
        <f>IFERROR(المطابع[[#This Row],[Column4]],"")</f>
        <v/>
      </c>
      <c r="Q108" s="342" t="b">
        <f>IF(AND('تسعير ديجيتال'!$V$23&gt;=P108,'تسعير ديجيتال'!$V$23&lt;=S108),TRUE,FALSE)</f>
        <v>0</v>
      </c>
      <c r="R108" s="342" t="b">
        <f>IF(AND('تسعير ديجيتال داخلي'!$V$23&gt;=P108,'تسعير ديجيتال داخلي'!$V$23&lt;=S108),TRUE,FALSE)</f>
        <v>0</v>
      </c>
      <c r="S108" s="335" t="str">
        <f>IFERROR(المطابع[[#This Row],[Column5]],"")</f>
        <v/>
      </c>
      <c r="T108" s="343" t="str">
        <f>IFERROR(المطابع[[#This Row],[Column6]],"")</f>
        <v/>
      </c>
      <c r="U108" s="344" t="str">
        <f>IFERROR(المطابع[[#This Row],[Column7]],"")</f>
        <v/>
      </c>
      <c r="V108" s="1"/>
      <c r="AA108" s="1"/>
    </row>
    <row r="109" spans="14:27" x14ac:dyDescent="0.2">
      <c r="N109" s="298"/>
      <c r="O109" s="298"/>
      <c r="P109" s="298"/>
      <c r="Q109" s="298"/>
      <c r="R109" s="298"/>
      <c r="S109" s="298"/>
      <c r="V109" s="1"/>
      <c r="AA109" s="1"/>
    </row>
  </sheetData>
  <mergeCells count="2">
    <mergeCell ref="W2:Z2"/>
    <mergeCell ref="N2:U2"/>
  </mergeCells>
  <phoneticPr fontId="37" type="noConversion"/>
  <conditionalFormatting sqref="N5:U108">
    <cfRule type="expression" dxfId="21" priority="2">
      <formula>$N5=$N6</formula>
    </cfRule>
  </conditionalFormatting>
  <conditionalFormatting sqref="B6:G57">
    <cfRule type="expression" dxfId="20" priority="27">
      <formula>$N5=$N6</formula>
    </cfRule>
  </conditionalFormatting>
  <conditionalFormatting sqref="B58:G58">
    <cfRule type="expression" dxfId="19" priority="29">
      <formula>$N108=$N109</formula>
    </cfRule>
  </conditionalFormatting>
  <dataValidations count="1">
    <dataValidation type="list" allowBlank="1" showInputMessage="1" showErrorMessage="1" sqref="X6:X21" xr:uid="{00000000-0002-0000-0A00-000001000000}">
      <formula1>Mkn_Sizes</formula1>
    </dataValidation>
  </dataValidations>
  <pageMargins left="0.7" right="0.7" top="0.75" bottom="0.75" header="0.3" footer="0.3"/>
  <pageSetup paperSize="9" orientation="portrait" r:id="rId1"/>
  <ignoredErrors>
    <ignoredError sqref="N5:U108 W5:Z21" unlockedFormula="1"/>
  </ignoredErrors>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L37"/>
  <sheetViews>
    <sheetView showZeros="0" rightToLeft="1" workbookViewId="0">
      <selection activeCell="AK20" sqref="AK20"/>
    </sheetView>
  </sheetViews>
  <sheetFormatPr defaultColWidth="9" defaultRowHeight="14.25" x14ac:dyDescent="0.2"/>
  <cols>
    <col min="1" max="1" width="2.125" style="1" customWidth="1"/>
    <col min="2" max="2" width="13.25" style="1" bestFit="1" customWidth="1"/>
    <col min="3" max="3" width="8.25" style="1" bestFit="1" customWidth="1"/>
    <col min="4" max="4" width="3.75" style="1" customWidth="1"/>
    <col min="5" max="5" width="10.75" style="1" bestFit="1" customWidth="1"/>
    <col min="6" max="6" width="8.25" style="1" bestFit="1" customWidth="1"/>
    <col min="7" max="7" width="3.625" style="1" customWidth="1"/>
    <col min="8" max="8" width="11.375" style="1" bestFit="1" customWidth="1"/>
    <col min="9" max="9" width="10.5" style="1" bestFit="1" customWidth="1"/>
    <col min="10" max="10" width="4.25" style="1" customWidth="1"/>
    <col min="11" max="11" width="13.875" style="1" bestFit="1" customWidth="1"/>
    <col min="12" max="12" width="8.25" style="1" bestFit="1" customWidth="1"/>
    <col min="13" max="13" width="7" style="1" bestFit="1" customWidth="1"/>
    <col min="14" max="14" width="3.75" style="1" customWidth="1"/>
    <col min="15" max="15" width="12.125" style="1" bestFit="1" customWidth="1"/>
    <col min="16" max="17" width="9.625" style="1" bestFit="1" customWidth="1"/>
    <col min="18" max="18" width="14.375" customWidth="1"/>
    <col min="19" max="19" width="15.625" style="1" hidden="1" customWidth="1"/>
    <col min="20" max="20" width="14.375" style="1" hidden="1" customWidth="1"/>
    <col min="21" max="21" width="1.625" style="1" hidden="1" customWidth="1"/>
    <col min="22" max="22" width="14.375" style="1" hidden="1" customWidth="1"/>
    <col min="23" max="23" width="16.875" style="298" hidden="1" customWidth="1"/>
    <col min="24" max="24" width="1.375" style="298" hidden="1" customWidth="1"/>
    <col min="25" max="25" width="13" style="1" hidden="1" customWidth="1"/>
    <col min="26" max="26" width="13.625" style="298" hidden="1" customWidth="1"/>
    <col min="27" max="27" width="1.625" style="298" hidden="1" customWidth="1"/>
    <col min="28" max="28" width="15.625" style="1" hidden="1" customWidth="1"/>
    <col min="29" max="29" width="13.625" style="298" hidden="1" customWidth="1"/>
    <col min="30" max="30" width="15.625" style="298" hidden="1" customWidth="1"/>
    <col min="31" max="31" width="1.125" style="1" hidden="1" customWidth="1"/>
    <col min="32" max="32" width="16.875" style="298" hidden="1" customWidth="1"/>
    <col min="33" max="33" width="13.125" style="298" hidden="1" customWidth="1"/>
    <col min="34" max="34" width="12.375" style="298" hidden="1" customWidth="1"/>
    <col min="35" max="35" width="9" style="1"/>
    <col min="36" max="37" width="13.625" style="298" customWidth="1"/>
    <col min="38" max="38" width="15.625" style="298" customWidth="1"/>
    <col min="39" max="16384" width="9" style="1"/>
  </cols>
  <sheetData>
    <row r="1" spans="1:38" x14ac:dyDescent="0.2">
      <c r="A1"/>
      <c r="B1"/>
      <c r="C1"/>
      <c r="D1"/>
      <c r="E1"/>
      <c r="F1"/>
      <c r="G1"/>
      <c r="H1"/>
      <c r="I1"/>
      <c r="J1"/>
      <c r="K1"/>
      <c r="L1"/>
      <c r="M1"/>
      <c r="N1"/>
      <c r="O1"/>
      <c r="P1"/>
      <c r="Q1"/>
      <c r="S1" s="298"/>
      <c r="T1" s="298"/>
      <c r="V1" s="298"/>
      <c r="X1" s="1"/>
      <c r="Y1" s="298"/>
      <c r="AA1" s="1"/>
      <c r="AB1" s="298"/>
      <c r="AJ1" s="1"/>
      <c r="AK1" s="1"/>
      <c r="AL1" s="1"/>
    </row>
    <row r="2" spans="1:38" ht="21" thickBot="1" x14ac:dyDescent="0.25">
      <c r="A2"/>
      <c r="B2" s="440" t="s">
        <v>196</v>
      </c>
      <c r="C2"/>
      <c r="D2"/>
      <c r="E2" s="440" t="s">
        <v>45</v>
      </c>
      <c r="F2"/>
      <c r="G2"/>
      <c r="H2" s="440" t="s">
        <v>197</v>
      </c>
      <c r="I2"/>
      <c r="J2"/>
      <c r="K2" s="440" t="s">
        <v>198</v>
      </c>
      <c r="L2"/>
      <c r="N2"/>
      <c r="O2" s="440" t="s">
        <v>266</v>
      </c>
      <c r="Q2"/>
      <c r="S2" s="360" t="s">
        <v>196</v>
      </c>
      <c r="T2" s="360"/>
      <c r="V2" s="360" t="s">
        <v>45</v>
      </c>
      <c r="W2" s="360"/>
      <c r="X2" s="1"/>
      <c r="Y2" s="918" t="s">
        <v>197</v>
      </c>
      <c r="Z2" s="918"/>
      <c r="AA2" s="1"/>
      <c r="AB2" s="918" t="s">
        <v>198</v>
      </c>
      <c r="AC2" s="918"/>
      <c r="AD2" s="918"/>
      <c r="AF2" s="918" t="s">
        <v>266</v>
      </c>
      <c r="AG2" s="918"/>
      <c r="AH2" s="918"/>
      <c r="AJ2" s="1"/>
      <c r="AK2" s="1"/>
      <c r="AL2" s="1"/>
    </row>
    <row r="3" spans="1:38" ht="18.75" thickBot="1" x14ac:dyDescent="0.25">
      <c r="A3"/>
      <c r="B3" s="361" t="s">
        <v>120</v>
      </c>
      <c r="C3" s="362" t="s">
        <v>81</v>
      </c>
      <c r="D3"/>
      <c r="E3" s="361" t="s">
        <v>185</v>
      </c>
      <c r="F3" s="362" t="s">
        <v>81</v>
      </c>
      <c r="G3"/>
      <c r="H3" s="361" t="s">
        <v>185</v>
      </c>
      <c r="I3" s="362" t="s">
        <v>81</v>
      </c>
      <c r="K3" s="361" t="s">
        <v>120</v>
      </c>
      <c r="L3" s="374" t="s">
        <v>81</v>
      </c>
      <c r="M3" s="362" t="s">
        <v>168</v>
      </c>
      <c r="O3" s="361" t="s">
        <v>59</v>
      </c>
      <c r="P3" s="374" t="s">
        <v>269</v>
      </c>
      <c r="Q3" s="362" t="s">
        <v>268</v>
      </c>
      <c r="S3" s="316" t="s">
        <v>120</v>
      </c>
      <c r="T3" s="316" t="s">
        <v>81</v>
      </c>
      <c r="V3" s="316" t="s">
        <v>185</v>
      </c>
      <c r="W3" s="316" t="s">
        <v>81</v>
      </c>
      <c r="X3" s="1"/>
      <c r="Y3" s="316" t="s">
        <v>185</v>
      </c>
      <c r="Z3" s="316" t="s">
        <v>81</v>
      </c>
      <c r="AA3" s="1"/>
      <c r="AB3" s="308" t="s">
        <v>120</v>
      </c>
      <c r="AC3" s="309" t="s">
        <v>81</v>
      </c>
      <c r="AD3" s="310" t="s">
        <v>168</v>
      </c>
      <c r="AF3" s="316" t="s">
        <v>59</v>
      </c>
      <c r="AG3" s="316" t="s">
        <v>269</v>
      </c>
      <c r="AH3" s="316" t="s">
        <v>268</v>
      </c>
      <c r="AJ3" s="1"/>
      <c r="AK3" s="1"/>
      <c r="AL3" s="1"/>
    </row>
    <row r="4" spans="1:38" ht="18" x14ac:dyDescent="0.2">
      <c r="A4"/>
      <c r="B4" s="363" t="s">
        <v>199</v>
      </c>
      <c r="C4" s="364">
        <v>3</v>
      </c>
      <c r="D4"/>
      <c r="E4" s="371" t="s">
        <v>281</v>
      </c>
      <c r="F4" s="364">
        <v>0.75</v>
      </c>
      <c r="G4"/>
      <c r="H4" s="371" t="s">
        <v>121</v>
      </c>
      <c r="I4" s="364">
        <v>150</v>
      </c>
      <c r="K4" s="363" t="s">
        <v>199</v>
      </c>
      <c r="L4" s="375">
        <v>4</v>
      </c>
      <c r="M4" s="376"/>
      <c r="O4" s="371" t="s">
        <v>297</v>
      </c>
      <c r="P4" s="385" t="s">
        <v>270</v>
      </c>
      <c r="Q4" s="364" t="s">
        <v>299</v>
      </c>
      <c r="S4" s="317" t="str">
        <f>IFERROR(خدمات_الطباعة[[#This Row],[Column2]],"")</f>
        <v>س. مط وجه</v>
      </c>
      <c r="T4" s="318">
        <f>IFERROR(خدمات_الطباعة[[#This Row],[Column3]],"")</f>
        <v>3</v>
      </c>
      <c r="V4" s="319" t="str">
        <f>IFERROR(خدمات_الطباعة[[#This Row],[Column5]],"")</f>
        <v>دبوس صغير</v>
      </c>
      <c r="W4" s="318">
        <f>IFERROR(خدمات_الطباعة[[#This Row],[Column6]],"")</f>
        <v>0.75</v>
      </c>
      <c r="X4" s="1"/>
      <c r="Y4" s="319" t="str">
        <f>IFERROR(خدمات_الطباعة[[#This Row],[Column8]],"")</f>
        <v>تكسير</v>
      </c>
      <c r="Z4" s="318">
        <f>IFERROR(خدمات_الطباعة[[#This Row],[Column9]],"")</f>
        <v>150</v>
      </c>
      <c r="AA4" s="1"/>
      <c r="AB4" s="320" t="str">
        <f>IFERROR(خدمات_الطباعة[[#This Row],[Column11]],"")</f>
        <v>س. مط وجه</v>
      </c>
      <c r="AC4" s="321">
        <f>IFERROR(خدمات_الطباعة[[#This Row],[Column12]],"")</f>
        <v>4</v>
      </c>
      <c r="AD4" s="298">
        <f>IFERROR(خدمات_الطباعة[[#This Row],[Column13]],"")</f>
        <v>0</v>
      </c>
      <c r="AF4" s="319" t="str">
        <f>IFERROR(خدمات_الطباعة[[#This Row],[Column15]],"")</f>
        <v>عم عماد</v>
      </c>
      <c r="AG4" s="351" t="str">
        <f>IFERROR(خدمات_الطباعة[[#This Row],[Column16]],"")</f>
        <v>صغير</v>
      </c>
      <c r="AH4" s="318" t="str">
        <f>IFERROR(خدمات_الطباعة[[#This Row],[Column17]],"")</f>
        <v>0.35</v>
      </c>
      <c r="AJ4" s="1"/>
      <c r="AK4" s="1"/>
      <c r="AL4" s="1"/>
    </row>
    <row r="5" spans="1:38" ht="18" x14ac:dyDescent="0.2">
      <c r="A5"/>
      <c r="B5" s="365" t="s">
        <v>200</v>
      </c>
      <c r="C5" s="366">
        <v>6</v>
      </c>
      <c r="D5"/>
      <c r="E5" s="372" t="s">
        <v>287</v>
      </c>
      <c r="F5" s="366">
        <v>1.2</v>
      </c>
      <c r="G5"/>
      <c r="H5" s="365" t="s">
        <v>201</v>
      </c>
      <c r="I5" s="366">
        <v>0</v>
      </c>
      <c r="K5" s="365" t="s">
        <v>200</v>
      </c>
      <c r="L5" s="377">
        <v>8</v>
      </c>
      <c r="M5" s="378"/>
      <c r="O5" s="372" t="s">
        <v>297</v>
      </c>
      <c r="P5" s="386" t="s">
        <v>271</v>
      </c>
      <c r="Q5" s="366" t="s">
        <v>300</v>
      </c>
      <c r="S5" s="313" t="str">
        <f>IFERROR(خدمات_الطباعة[[#This Row],[Column2]],"")</f>
        <v>س. مط وجهين</v>
      </c>
      <c r="T5" s="322">
        <f>IFERROR(خدمات_الطباعة[[#This Row],[Column3]],"")</f>
        <v>6</v>
      </c>
      <c r="V5" s="323" t="str">
        <f>IFERROR(خدمات_الطباعة[[#This Row],[Column5]],"")</f>
        <v>دبوس وسط</v>
      </c>
      <c r="W5" s="322">
        <f>IFERROR(خدمات_الطباعة[[#This Row],[Column6]],"")</f>
        <v>1.2</v>
      </c>
      <c r="X5" s="1"/>
      <c r="Y5" s="313" t="str">
        <f>IFERROR(خدمات_الطباعة[[#This Row],[Column8]],"")</f>
        <v>بدون تلزيق</v>
      </c>
      <c r="Z5" s="322">
        <f>IFERROR(خدمات_الطباعة[[#This Row],[Column9]],"")</f>
        <v>0</v>
      </c>
      <c r="AA5" s="1"/>
      <c r="AB5" s="313" t="str">
        <f>IFERROR(خدمات_الطباعة[[#This Row],[Column11]],"")</f>
        <v>س. مط وجهين</v>
      </c>
      <c r="AC5" s="322">
        <f>IFERROR(خدمات_الطباعة[[#This Row],[Column12]],"")</f>
        <v>8</v>
      </c>
      <c r="AD5" s="298">
        <f>IFERROR(خدمات_الطباعة[[#This Row],[Column13]],"")</f>
        <v>0</v>
      </c>
      <c r="AF5" s="323" t="str">
        <f>IFERROR(خدمات_الطباعة[[#This Row],[Column15]],"")</f>
        <v>عم عماد</v>
      </c>
      <c r="AG5" s="323" t="str">
        <f>IFERROR(خدمات_الطباعة[[#This Row],[Column16]],"")</f>
        <v>وسط</v>
      </c>
      <c r="AH5" s="322" t="str">
        <f>IFERROR(خدمات_الطباعة[[#This Row],[Column17]],"")</f>
        <v>0.45</v>
      </c>
      <c r="AJ5" s="1"/>
      <c r="AK5" s="1"/>
      <c r="AL5" s="1"/>
    </row>
    <row r="6" spans="1:38" ht="18" x14ac:dyDescent="0.2">
      <c r="A6"/>
      <c r="B6" s="367" t="s">
        <v>202</v>
      </c>
      <c r="C6" s="368">
        <v>3</v>
      </c>
      <c r="D6"/>
      <c r="E6" s="373" t="s">
        <v>282</v>
      </c>
      <c r="F6" s="368">
        <v>2</v>
      </c>
      <c r="G6"/>
      <c r="H6" s="367" t="s">
        <v>123</v>
      </c>
      <c r="I6" s="368">
        <v>100</v>
      </c>
      <c r="K6" s="367" t="s">
        <v>202</v>
      </c>
      <c r="L6" s="379">
        <v>4</v>
      </c>
      <c r="M6" s="380"/>
      <c r="O6" s="373" t="s">
        <v>193</v>
      </c>
      <c r="P6" s="387" t="s">
        <v>270</v>
      </c>
      <c r="Q6" s="368" t="s">
        <v>300</v>
      </c>
      <c r="S6" s="313" t="str">
        <f>IFERROR(خدمات_الطباعة[[#This Row],[Column2]],"")</f>
        <v>س. لميع وجه</v>
      </c>
      <c r="T6" s="322">
        <f>IFERROR(خدمات_الطباعة[[#This Row],[Column3]],"")</f>
        <v>3</v>
      </c>
      <c r="V6" s="323" t="str">
        <f>IFERROR(خدمات_الطباعة[[#This Row],[Column5]],"")</f>
        <v>دبوس كبير</v>
      </c>
      <c r="W6" s="322">
        <f>IFERROR(خدمات_الطباعة[[#This Row],[Column6]],"")</f>
        <v>2</v>
      </c>
      <c r="X6" s="1"/>
      <c r="Y6" s="313" t="str">
        <f>IFERROR(خدمات_الطباعة[[#This Row],[Column8]],"")</f>
        <v>تلزيق لسان</v>
      </c>
      <c r="Z6" s="322">
        <f>IFERROR(خدمات_الطباعة[[#This Row],[Column9]],"")</f>
        <v>100</v>
      </c>
      <c r="AA6" s="1"/>
      <c r="AB6" s="313" t="str">
        <f>IFERROR(خدمات_الطباعة[[#This Row],[Column11]],"")</f>
        <v>س. لميع وجه</v>
      </c>
      <c r="AC6" s="322">
        <f>IFERROR(خدمات_الطباعة[[#This Row],[Column12]],"")</f>
        <v>4</v>
      </c>
      <c r="AD6" s="298">
        <f>IFERROR(خدمات_الطباعة[[#This Row],[Column13]],"")</f>
        <v>0</v>
      </c>
      <c r="AF6" s="323" t="str">
        <f>IFERROR(خدمات_الطباعة[[#This Row],[Column15]],"")</f>
        <v>ارت اكسبريس</v>
      </c>
      <c r="AG6" s="323" t="str">
        <f>IFERROR(خدمات_الطباعة[[#This Row],[Column16]],"")</f>
        <v>صغير</v>
      </c>
      <c r="AH6" s="322" t="str">
        <f>IFERROR(خدمات_الطباعة[[#This Row],[Column17]],"")</f>
        <v>0.45</v>
      </c>
      <c r="AJ6" s="1"/>
      <c r="AK6" s="1"/>
      <c r="AL6" s="1"/>
    </row>
    <row r="7" spans="1:38" ht="18" x14ac:dyDescent="0.2">
      <c r="A7"/>
      <c r="B7" s="365" t="s">
        <v>203</v>
      </c>
      <c r="C7" s="366">
        <v>6</v>
      </c>
      <c r="D7"/>
      <c r="E7" s="372" t="s">
        <v>278</v>
      </c>
      <c r="F7" s="366">
        <v>1.5</v>
      </c>
      <c r="G7"/>
      <c r="H7" s="365" t="s">
        <v>204</v>
      </c>
      <c r="I7" s="366">
        <v>200</v>
      </c>
      <c r="K7" s="365" t="s">
        <v>203</v>
      </c>
      <c r="L7" s="377">
        <v>8</v>
      </c>
      <c r="M7" s="378"/>
      <c r="O7" s="372"/>
      <c r="P7" s="386"/>
      <c r="Q7" s="366"/>
      <c r="S7" s="313" t="str">
        <f>IFERROR(خدمات_الطباعة[[#This Row],[Column2]],"")</f>
        <v>س. لميع وجهين</v>
      </c>
      <c r="T7" s="322">
        <f>IFERROR(خدمات_الطباعة[[#This Row],[Column3]],"")</f>
        <v>6</v>
      </c>
      <c r="V7" s="323" t="str">
        <f>IFERROR(خدمات_الطباعة[[#This Row],[Column5]],"")</f>
        <v>بشر 10سم</v>
      </c>
      <c r="W7" s="322">
        <f>IFERROR(خدمات_الطباعة[[#This Row],[Column6]],"")</f>
        <v>1.5</v>
      </c>
      <c r="X7" s="1"/>
      <c r="Y7" s="313" t="str">
        <f>IFERROR(خدمات_الطباعة[[#This Row],[Column8]],"")</f>
        <v>تلزيق 2 لسان</v>
      </c>
      <c r="Z7" s="322">
        <f>IFERROR(خدمات_الطباعة[[#This Row],[Column9]],"")</f>
        <v>200</v>
      </c>
      <c r="AA7" s="1"/>
      <c r="AB7" s="313" t="str">
        <f>IFERROR(خدمات_الطباعة[[#This Row],[Column11]],"")</f>
        <v>س. لميع وجهين</v>
      </c>
      <c r="AC7" s="322">
        <f>IFERROR(خدمات_الطباعة[[#This Row],[Column12]],"")</f>
        <v>8</v>
      </c>
      <c r="AD7" s="298">
        <f>IFERROR(خدمات_الطباعة[[#This Row],[Column13]],"")</f>
        <v>0</v>
      </c>
      <c r="AF7" s="323">
        <f>IFERROR(خدمات_الطباعة[[#This Row],[Column15]],"")</f>
        <v>0</v>
      </c>
      <c r="AG7" s="323">
        <f>IFERROR(خدمات_الطباعة[[#This Row],[Column16]],"")</f>
        <v>0</v>
      </c>
      <c r="AH7" s="322">
        <f>IFERROR(خدمات_الطباعة[[#This Row],[Column17]],"")</f>
        <v>0</v>
      </c>
      <c r="AJ7" s="1"/>
      <c r="AK7" s="1"/>
      <c r="AL7" s="1"/>
    </row>
    <row r="8" spans="1:38" ht="18" x14ac:dyDescent="0.2">
      <c r="A8"/>
      <c r="B8" s="367" t="s">
        <v>205</v>
      </c>
      <c r="C8" s="368">
        <v>3</v>
      </c>
      <c r="D8"/>
      <c r="E8" s="373" t="s">
        <v>279</v>
      </c>
      <c r="F8" s="368">
        <v>2</v>
      </c>
      <c r="G8"/>
      <c r="H8" s="367" t="s">
        <v>206</v>
      </c>
      <c r="I8" s="368">
        <v>300</v>
      </c>
      <c r="K8" s="367"/>
      <c r="L8" s="381">
        <v>80</v>
      </c>
      <c r="M8" s="382" t="s">
        <v>26</v>
      </c>
      <c r="O8" s="373"/>
      <c r="P8" s="387"/>
      <c r="Q8" s="368"/>
      <c r="S8" s="313" t="str">
        <f>IFERROR(خدمات_الطباعة[[#This Row],[Column2]],"")</f>
        <v>يوفي</v>
      </c>
      <c r="T8" s="322">
        <f>IFERROR(خدمات_الطباعة[[#This Row],[Column3]],"")</f>
        <v>3</v>
      </c>
      <c r="V8" s="323" t="str">
        <f>IFERROR(خدمات_الطباعة[[#This Row],[Column5]],"")</f>
        <v>بشر 20سم</v>
      </c>
      <c r="W8" s="322">
        <f>IFERROR(خدمات_الطباعة[[#This Row],[Column6]],"")</f>
        <v>2</v>
      </c>
      <c r="X8" s="1"/>
      <c r="Y8" s="313" t="str">
        <f>IFERROR(خدمات_الطباعة[[#This Row],[Column8]],"")</f>
        <v>تلزيق 3 لسان</v>
      </c>
      <c r="Z8" s="322">
        <f>IFERROR(خدمات_الطباعة[[#This Row],[Column9]],"")</f>
        <v>300</v>
      </c>
      <c r="AA8" s="1"/>
      <c r="AB8" s="311">
        <f>IFERROR(خدمات_الطباعة[[#This Row],[Column11]],"")</f>
        <v>0</v>
      </c>
      <c r="AC8" s="315">
        <f>IFERROR(خدمات_الطباعة[[#This Row],[Column12]],"")</f>
        <v>80</v>
      </c>
      <c r="AD8" s="323" t="str">
        <f>IFERROR(خدمات_الطباعة[[#This Row],[Column13]],"")</f>
        <v>ريجة</v>
      </c>
      <c r="AF8" s="323">
        <f>IFERROR(خدمات_الطباعة[[#This Row],[Column15]],"")</f>
        <v>0</v>
      </c>
      <c r="AG8" s="323">
        <f>IFERROR(خدمات_الطباعة[[#This Row],[Column16]],"")</f>
        <v>0</v>
      </c>
      <c r="AH8" s="322">
        <f>IFERROR(خدمات_الطباعة[[#This Row],[Column17]],"")</f>
        <v>0</v>
      </c>
      <c r="AJ8" s="1"/>
      <c r="AK8" s="1"/>
      <c r="AL8" s="1"/>
    </row>
    <row r="9" spans="1:38" ht="18" x14ac:dyDescent="0.2">
      <c r="A9"/>
      <c r="B9" s="365" t="s">
        <v>207</v>
      </c>
      <c r="C9" s="366">
        <v>3</v>
      </c>
      <c r="D9"/>
      <c r="E9" s="372" t="s">
        <v>280</v>
      </c>
      <c r="F9" s="366">
        <v>3</v>
      </c>
      <c r="G9"/>
      <c r="H9" s="365"/>
      <c r="I9" s="366"/>
      <c r="K9" s="365"/>
      <c r="L9" s="383">
        <v>150</v>
      </c>
      <c r="M9" s="384" t="s">
        <v>208</v>
      </c>
      <c r="O9" s="372"/>
      <c r="P9" s="386"/>
      <c r="Q9" s="366"/>
      <c r="S9" s="313" t="str">
        <f>IFERROR(خدمات_الطباعة[[#This Row],[Column2]],"")</f>
        <v>بصمة</v>
      </c>
      <c r="T9" s="322">
        <f>IFERROR(خدمات_الطباعة[[#This Row],[Column3]],"")</f>
        <v>3</v>
      </c>
      <c r="V9" s="323" t="str">
        <f>IFERROR(خدمات_الطباعة[[#This Row],[Column5]],"")</f>
        <v>بشر 30سم</v>
      </c>
      <c r="W9" s="322">
        <f>IFERROR(خدمات_الطباعة[[#This Row],[Column6]],"")</f>
        <v>3</v>
      </c>
      <c r="X9" s="1"/>
      <c r="Y9" s="313">
        <f>IFERROR(خدمات_الطباعة[[#This Row],[Column8]],"")</f>
        <v>0</v>
      </c>
      <c r="Z9" s="322">
        <f>IFERROR(خدمات_الطباعة[[#This Row],[Column9]],"")</f>
        <v>0</v>
      </c>
      <c r="AA9" s="1"/>
      <c r="AB9" s="311">
        <f>IFERROR(خدمات_الطباعة[[#This Row],[Column11]],"")</f>
        <v>0</v>
      </c>
      <c r="AC9" s="315">
        <f>IFERROR(خدمات_الطباعة[[#This Row],[Column12]],"")</f>
        <v>150</v>
      </c>
      <c r="AD9" s="323" t="str">
        <f>IFERROR(خدمات_الطباعة[[#This Row],[Column13]],"")</f>
        <v>2 ريجة</v>
      </c>
      <c r="AF9" s="323">
        <f>IFERROR(خدمات_الطباعة[[#This Row],[Column15]],"")</f>
        <v>0</v>
      </c>
      <c r="AG9" s="323">
        <f>IFERROR(خدمات_الطباعة[[#This Row],[Column16]],"")</f>
        <v>0</v>
      </c>
      <c r="AH9" s="322">
        <f>IFERROR(خدمات_الطباعة[[#This Row],[Column17]],"")</f>
        <v>0</v>
      </c>
      <c r="AJ9" s="1"/>
      <c r="AK9" s="1"/>
      <c r="AL9" s="1"/>
    </row>
    <row r="10" spans="1:38" ht="18" x14ac:dyDescent="0.2">
      <c r="A10"/>
      <c r="B10" s="367" t="s">
        <v>209</v>
      </c>
      <c r="C10" s="368">
        <v>3</v>
      </c>
      <c r="D10"/>
      <c r="E10" s="373"/>
      <c r="F10" s="368"/>
      <c r="G10"/>
      <c r="H10" s="367"/>
      <c r="I10" s="368"/>
      <c r="K10" s="367"/>
      <c r="L10" s="381">
        <v>200</v>
      </c>
      <c r="M10" s="382" t="s">
        <v>210</v>
      </c>
      <c r="O10" s="373"/>
      <c r="P10" s="387"/>
      <c r="Q10" s="368"/>
      <c r="S10" s="313" t="str">
        <f>IFERROR(خدمات_الطباعة[[#This Row],[Column2]],"")</f>
        <v>كوفراج</v>
      </c>
      <c r="T10" s="322">
        <f>IFERROR(خدمات_الطباعة[[#This Row],[Column3]],"")</f>
        <v>3</v>
      </c>
      <c r="V10" s="323">
        <f>IFERROR(خدمات_الطباعة[[#This Row],[Column5]],"")</f>
        <v>0</v>
      </c>
      <c r="W10" s="322">
        <f>IFERROR(خدمات_الطباعة[[#This Row],[Column6]],"")</f>
        <v>0</v>
      </c>
      <c r="X10" s="1"/>
      <c r="Y10" s="313">
        <f>IFERROR(خدمات_الطباعة[[#This Row],[Column8]],"")</f>
        <v>0</v>
      </c>
      <c r="Z10" s="322">
        <f>IFERROR(خدمات_الطباعة[[#This Row],[Column9]],"")</f>
        <v>0</v>
      </c>
      <c r="AA10" s="1"/>
      <c r="AB10" s="311">
        <f>IFERROR(خدمات_الطباعة[[#This Row],[Column11]],"")</f>
        <v>0</v>
      </c>
      <c r="AC10" s="315">
        <f>IFERROR(خدمات_الطباعة[[#This Row],[Column12]],"")</f>
        <v>200</v>
      </c>
      <c r="AD10" s="323" t="str">
        <f>IFERROR(خدمات_الطباعة[[#This Row],[Column13]],"")</f>
        <v>3 ريجة</v>
      </c>
      <c r="AF10" s="323">
        <f>IFERROR(خدمات_الطباعة[[#This Row],[Column15]],"")</f>
        <v>0</v>
      </c>
      <c r="AG10" s="323">
        <f>IFERROR(خدمات_الطباعة[[#This Row],[Column16]],"")</f>
        <v>0</v>
      </c>
      <c r="AH10" s="322">
        <f>IFERROR(خدمات_الطباعة[[#This Row],[Column17]],"")</f>
        <v>0</v>
      </c>
      <c r="AJ10" s="1"/>
      <c r="AK10" s="1"/>
      <c r="AL10" s="1"/>
    </row>
    <row r="11" spans="1:38" ht="18" x14ac:dyDescent="0.2">
      <c r="A11"/>
      <c r="B11" s="365" t="s">
        <v>211</v>
      </c>
      <c r="C11" s="366">
        <v>3</v>
      </c>
      <c r="D11"/>
      <c r="E11" s="372"/>
      <c r="F11" s="366"/>
      <c r="G11"/>
      <c r="H11" s="365"/>
      <c r="I11" s="369"/>
      <c r="K11" s="365"/>
      <c r="L11" s="383">
        <v>300</v>
      </c>
      <c r="M11" s="384" t="s">
        <v>212</v>
      </c>
      <c r="O11" s="372"/>
      <c r="P11" s="386"/>
      <c r="Q11" s="369"/>
      <c r="S11" s="313" t="str">
        <f>IFERROR(خدمات_الطباعة[[#This Row],[Column2]],"")</f>
        <v>بصمة كوفراج</v>
      </c>
      <c r="T11" s="322">
        <f>IFERROR(خدمات_الطباعة[[#This Row],[Column3]],"")</f>
        <v>3</v>
      </c>
      <c r="V11" s="323">
        <f>IFERROR(خدمات_الطباعة[[#This Row],[Column5]],"")</f>
        <v>0</v>
      </c>
      <c r="W11" s="322">
        <f>IFERROR(خدمات_الطباعة[[#This Row],[Column6]],"")</f>
        <v>0</v>
      </c>
      <c r="X11" s="1"/>
      <c r="Y11" s="313">
        <f>IFERROR(خدمات_الطباعة[[#This Row],[Column8]],"")</f>
        <v>0</v>
      </c>
      <c r="Z11" s="315">
        <f>IFERROR(خدمات_الطباعة[[#This Row],[Column9]],"")</f>
        <v>0</v>
      </c>
      <c r="AA11" s="1"/>
      <c r="AB11" s="324">
        <f>IFERROR(خدمات_الطباعة[[#This Row],[Column11]],"")</f>
        <v>0</v>
      </c>
      <c r="AC11" s="315">
        <f>IFERROR(خدمات_الطباعة[[#This Row],[Column12]],"")</f>
        <v>300</v>
      </c>
      <c r="AD11" s="323" t="str">
        <f>IFERROR(خدمات_الطباعة[[#This Row],[Column13]],"")</f>
        <v>4 ريجة</v>
      </c>
      <c r="AF11" s="323">
        <f>IFERROR(خدمات_الطباعة[[#This Row],[Column15]],"")</f>
        <v>0</v>
      </c>
      <c r="AG11" s="323">
        <f>IFERROR(خدمات_الطباعة[[#This Row],[Column16]],"")</f>
        <v>0</v>
      </c>
      <c r="AH11" s="315">
        <f>IFERROR(خدمات_الطباعة[[#This Row],[Column17]],"")</f>
        <v>0</v>
      </c>
      <c r="AJ11" s="1"/>
      <c r="AK11" s="1"/>
      <c r="AL11" s="1"/>
    </row>
    <row r="12" spans="1:38" ht="18" x14ac:dyDescent="0.2">
      <c r="A12"/>
      <c r="B12" s="367" t="s">
        <v>122</v>
      </c>
      <c r="C12" s="368" t="s">
        <v>304</v>
      </c>
      <c r="D12"/>
      <c r="E12" s="373"/>
      <c r="F12" s="370"/>
      <c r="G12"/>
      <c r="H12" s="367"/>
      <c r="I12" s="370"/>
      <c r="K12" s="367"/>
      <c r="L12" s="381"/>
      <c r="M12" s="380"/>
      <c r="O12" s="373"/>
      <c r="P12" s="387"/>
      <c r="Q12" s="370"/>
      <c r="S12" s="313" t="str">
        <f>IFERROR(خدمات_الطباعة[[#This Row],[Column2]],"")</f>
        <v>سبوت يوفي</v>
      </c>
      <c r="T12" s="322" t="str">
        <f>IFERROR(خدمات_الطباعة[[#This Row],[Column3]],"")</f>
        <v>1.75</v>
      </c>
      <c r="V12" s="323">
        <f>IFERROR(خدمات_الطباعة[[#This Row],[Column5]],"")</f>
        <v>0</v>
      </c>
      <c r="W12" s="315">
        <f>IFERROR(خدمات_الطباعة[[#This Row],[Column6]],"")</f>
        <v>0</v>
      </c>
      <c r="X12" s="1"/>
      <c r="Y12" s="313">
        <f>IFERROR(خدمات_الطباعة[[#This Row],[Column8]],"")</f>
        <v>0</v>
      </c>
      <c r="Z12" s="315">
        <f>IFERROR(خدمات_الطباعة[[#This Row],[Column9]],"")</f>
        <v>0</v>
      </c>
      <c r="AA12" s="1"/>
      <c r="AB12" s="313">
        <f>IFERROR(خدمات_الطباعة[[#This Row],[Column11]],"")</f>
        <v>0</v>
      </c>
      <c r="AC12" s="315">
        <f>IFERROR(خدمات_الطباعة[[#This Row],[Column12]],"")</f>
        <v>0</v>
      </c>
      <c r="AD12" s="298">
        <f>IFERROR(خدمات_الطباعة[[#This Row],[Column13]],"")</f>
        <v>0</v>
      </c>
      <c r="AF12" s="323">
        <f>IFERROR(خدمات_الطباعة[[#This Row],[Column15]],"")</f>
        <v>0</v>
      </c>
      <c r="AG12" s="323">
        <f>IFERROR(خدمات_الطباعة[[#This Row],[Column16]],"")</f>
        <v>0</v>
      </c>
      <c r="AH12" s="315">
        <f>IFERROR(خدمات_الطباعة[[#This Row],[Column17]],"")</f>
        <v>0</v>
      </c>
      <c r="AJ12" s="1"/>
      <c r="AK12" s="1"/>
      <c r="AL12" s="1"/>
    </row>
    <row r="13" spans="1:38" ht="18" x14ac:dyDescent="0.2">
      <c r="S13" s="313" t="str">
        <f>IFERROR(خدمات_الطباعة[[#This Row],[Column2]],"")</f>
        <v/>
      </c>
      <c r="T13" s="315" t="str">
        <f>IFERROR(خدمات_الطباعة[[#This Row],[Column3]],"")</f>
        <v/>
      </c>
      <c r="V13" s="323" t="str">
        <f>IFERROR(خدمات_الطباعة[[#This Row],[Column5]],"")</f>
        <v/>
      </c>
      <c r="W13" s="315" t="str">
        <f>IFERROR(خدمات_الطباعة[[#This Row],[Column6]],"")</f>
        <v/>
      </c>
      <c r="X13" s="1"/>
      <c r="Y13" s="313" t="str">
        <f>IFERROR(خدمات_الطباعة[[#This Row],[Column8]],"")</f>
        <v/>
      </c>
      <c r="Z13" s="315" t="str">
        <f>IFERROR(خدمات_الطباعة[[#This Row],[Column9]],"")</f>
        <v/>
      </c>
      <c r="AA13" s="1"/>
      <c r="AB13" s="313" t="str">
        <f>IFERROR(خدمات_الطباعة[[#This Row],[Column11]],"")</f>
        <v/>
      </c>
      <c r="AC13" s="315" t="str">
        <f>IFERROR(خدمات_الطباعة[[#This Row],[Column12]],"")</f>
        <v/>
      </c>
      <c r="AD13" s="298" t="str">
        <f>IFERROR(خدمات_الطباعة[[#This Row],[Column13]],"")</f>
        <v/>
      </c>
      <c r="AF13" s="323" t="str">
        <f>IFERROR(خدمات_الطباعة[[#This Row],[Column15]],"")</f>
        <v/>
      </c>
      <c r="AG13" s="323" t="str">
        <f>IFERROR(خدمات_الطباعة[[#This Row],[Column16]],"")</f>
        <v/>
      </c>
      <c r="AH13" s="315" t="str">
        <f>IFERROR(خدمات_الطباعة[[#This Row],[Column17]],"")</f>
        <v/>
      </c>
      <c r="AJ13" s="1"/>
      <c r="AK13" s="1"/>
      <c r="AL13" s="1"/>
    </row>
    <row r="14" spans="1:38" ht="18" x14ac:dyDescent="0.2">
      <c r="S14" s="313" t="str">
        <f>IFERROR(خدمات_الطباعة[[#This Row],[Column2]],"")</f>
        <v/>
      </c>
      <c r="T14" s="315" t="str">
        <f>IFERROR(خدمات_الطباعة[[#This Row],[Column3]],"")</f>
        <v/>
      </c>
      <c r="V14" s="323" t="str">
        <f>IFERROR(خدمات_الطباعة[[#This Row],[Column5]],"")</f>
        <v/>
      </c>
      <c r="W14" s="315" t="str">
        <f>IFERROR(خدمات_الطباعة[[#This Row],[Column6]],"")</f>
        <v/>
      </c>
      <c r="X14" s="1"/>
      <c r="Y14" s="313" t="str">
        <f>IFERROR(خدمات_الطباعة[[#This Row],[Column8]],"")</f>
        <v/>
      </c>
      <c r="Z14" s="315" t="str">
        <f>IFERROR(خدمات_الطباعة[[#This Row],[Column9]],"")</f>
        <v/>
      </c>
      <c r="AA14" s="1"/>
      <c r="AB14" s="313" t="str">
        <f>IFERROR(خدمات_الطباعة[[#This Row],[Column11]],"")</f>
        <v/>
      </c>
      <c r="AC14" s="315" t="str">
        <f>IFERROR(خدمات_الطباعة[[#This Row],[Column12]],"")</f>
        <v/>
      </c>
      <c r="AD14" s="298" t="str">
        <f>IFERROR(خدمات_الطباعة[[#This Row],[Column13]],"")</f>
        <v/>
      </c>
      <c r="AF14" s="323" t="str">
        <f>IFERROR(خدمات_الطباعة[[#This Row],[Column15]],"")</f>
        <v/>
      </c>
      <c r="AG14" s="323" t="str">
        <f>IFERROR(خدمات_الطباعة[[#This Row],[Column16]],"")</f>
        <v/>
      </c>
      <c r="AH14" s="315" t="str">
        <f>IFERROR(خدمات_الطباعة[[#This Row],[Column17]],"")</f>
        <v/>
      </c>
      <c r="AJ14" s="1"/>
      <c r="AK14" s="1"/>
      <c r="AL14" s="1"/>
    </row>
    <row r="15" spans="1:38" ht="18" x14ac:dyDescent="0.2">
      <c r="S15" s="313" t="str">
        <f>IFERROR(خدمات_الطباعة[[#This Row],[Column2]],"")</f>
        <v/>
      </c>
      <c r="T15" s="315" t="str">
        <f>IFERROR(خدمات_الطباعة[[#This Row],[Column3]],"")</f>
        <v/>
      </c>
      <c r="V15" s="346" t="str">
        <f>IFERROR(خدمات_الطباعة[[#This Row],[Column5]],"")</f>
        <v/>
      </c>
      <c r="W15" s="315" t="str">
        <f>IFERROR(خدمات_الطباعة[[#This Row],[Column6]],"")</f>
        <v/>
      </c>
      <c r="X15" s="1"/>
      <c r="Y15" s="325" t="str">
        <f>IFERROR(خدمات_الطباعة[[#This Row],[Column8]],"")</f>
        <v/>
      </c>
      <c r="Z15" s="315" t="str">
        <f>IFERROR(خدمات_الطباعة[[#This Row],[Column9]],"")</f>
        <v/>
      </c>
      <c r="AA15" s="1"/>
      <c r="AB15" s="325" t="str">
        <f>IFERROR(خدمات_الطباعة[[#This Row],[Column11]],"")</f>
        <v/>
      </c>
      <c r="AC15" s="315" t="str">
        <f>IFERROR(خدمات_الطباعة[[#This Row],[Column12]],"")</f>
        <v/>
      </c>
      <c r="AD15" s="298" t="str">
        <f>IFERROR(خدمات_الطباعة[[#This Row],[Column13]],"")</f>
        <v/>
      </c>
      <c r="AF15" s="346" t="str">
        <f>IFERROR(خدمات_الطباعة[[#This Row],[Column15]],"")</f>
        <v/>
      </c>
      <c r="AG15" s="352" t="str">
        <f>IFERROR(خدمات_الطباعة[[#This Row],[Column16]],"")</f>
        <v/>
      </c>
      <c r="AH15" s="315" t="str">
        <f>IFERROR(خدمات_الطباعة[[#This Row],[Column17]],"")</f>
        <v/>
      </c>
      <c r="AJ15" s="1"/>
      <c r="AK15" s="1"/>
      <c r="AL15" s="1"/>
    </row>
    <row r="16" spans="1:38" ht="18" x14ac:dyDescent="0.2">
      <c r="S16" s="313" t="str">
        <f>IFERROR(خدمات_الطباعة[[#This Row],[Column2]],"")</f>
        <v/>
      </c>
      <c r="T16" s="315" t="str">
        <f>IFERROR(خدمات_الطباعة[[#This Row],[Column3]],"")</f>
        <v/>
      </c>
      <c r="V16" s="323" t="str">
        <f>IFERROR(خدمات_الطباعة[[#This Row],[Column5]],"")</f>
        <v/>
      </c>
      <c r="W16" s="315" t="str">
        <f>IFERROR(خدمات_الطباعة[[#This Row],[Column6]],"")</f>
        <v/>
      </c>
      <c r="X16" s="1"/>
      <c r="Y16" s="313" t="str">
        <f>IFERROR(خدمات_الطباعة[[#This Row],[Column8]],"")</f>
        <v/>
      </c>
      <c r="Z16" s="315" t="str">
        <f>IFERROR(خدمات_الطباعة[[#This Row],[Column9]],"")</f>
        <v/>
      </c>
      <c r="AA16" s="1"/>
      <c r="AB16" s="313" t="str">
        <f>IFERROR(خدمات_الطباعة[[#This Row],[Column11]],"")</f>
        <v/>
      </c>
      <c r="AC16" s="315" t="str">
        <f>IFERROR(خدمات_الطباعة[[#This Row],[Column12]],"")</f>
        <v/>
      </c>
      <c r="AD16" s="298" t="str">
        <f>IFERROR(خدمات_الطباعة[[#This Row],[Column13]],"")</f>
        <v/>
      </c>
      <c r="AF16" s="323" t="str">
        <f>IFERROR(خدمات_الطباعة[[#This Row],[Column15]],"")</f>
        <v/>
      </c>
      <c r="AG16" s="323" t="str">
        <f>IFERROR(خدمات_الطباعة[[#This Row],[Column16]],"")</f>
        <v/>
      </c>
      <c r="AH16" s="315" t="str">
        <f>IFERROR(خدمات_الطباعة[[#This Row],[Column17]],"")</f>
        <v/>
      </c>
      <c r="AJ16" s="1"/>
      <c r="AK16" s="1"/>
      <c r="AL16" s="1"/>
    </row>
    <row r="17" spans="19:38" ht="18" x14ac:dyDescent="0.2">
      <c r="S17" s="313" t="str">
        <f>IFERROR(خدمات_الطباعة[[#This Row],[Column2]],"")</f>
        <v/>
      </c>
      <c r="T17" s="315" t="str">
        <f>IFERROR(خدمات_الطباعة[[#This Row],[Column3]],"")</f>
        <v/>
      </c>
      <c r="V17" s="323" t="str">
        <f>IFERROR(خدمات_الطباعة[[#This Row],[Column5]],"")</f>
        <v/>
      </c>
      <c r="W17" s="315" t="str">
        <f>IFERROR(خدمات_الطباعة[[#This Row],[Column6]],"")</f>
        <v/>
      </c>
      <c r="X17" s="1"/>
      <c r="Y17" s="313" t="str">
        <f>IFERROR(خدمات_الطباعة[[#This Row],[Column8]],"")</f>
        <v/>
      </c>
      <c r="Z17" s="315" t="str">
        <f>IFERROR(خدمات_الطباعة[[#This Row],[Column9]],"")</f>
        <v/>
      </c>
      <c r="AA17" s="1"/>
      <c r="AB17" s="313" t="str">
        <f>IFERROR(خدمات_الطباعة[[#This Row],[Column11]],"")</f>
        <v/>
      </c>
      <c r="AC17" s="315" t="str">
        <f>IFERROR(خدمات_الطباعة[[#This Row],[Column12]],"")</f>
        <v/>
      </c>
      <c r="AD17" s="298" t="str">
        <f>IFERROR(خدمات_الطباعة[[#This Row],[Column13]],"")</f>
        <v/>
      </c>
      <c r="AF17" s="323" t="str">
        <f>IFERROR(خدمات_الطباعة[[#This Row],[Column15]],"")</f>
        <v/>
      </c>
      <c r="AG17" s="323" t="str">
        <f>IFERROR(خدمات_الطباعة[[#This Row],[Column16]],"")</f>
        <v/>
      </c>
      <c r="AH17" s="315" t="str">
        <f>IFERROR(خدمات_الطباعة[[#This Row],[Column17]],"")</f>
        <v/>
      </c>
      <c r="AJ17" s="1"/>
      <c r="AK17" s="1"/>
      <c r="AL17" s="1"/>
    </row>
    <row r="18" spans="19:38" ht="18" x14ac:dyDescent="0.2">
      <c r="S18" s="313" t="str">
        <f>IFERROR(خدمات_الطباعة[[#This Row],[Column2]],"")</f>
        <v/>
      </c>
      <c r="T18" s="315" t="str">
        <f>IFERROR(خدمات_الطباعة[[#This Row],[Column3]],"")</f>
        <v/>
      </c>
      <c r="V18" s="323" t="str">
        <f>IFERROR(خدمات_الطباعة[[#This Row],[Column5]],"")</f>
        <v/>
      </c>
      <c r="W18" s="315" t="str">
        <f>IFERROR(خدمات_الطباعة[[#This Row],[Column6]],"")</f>
        <v/>
      </c>
      <c r="X18" s="1"/>
      <c r="Y18" s="313" t="str">
        <f>IFERROR(خدمات_الطباعة[[#This Row],[Column8]],"")</f>
        <v/>
      </c>
      <c r="Z18" s="315" t="str">
        <f>IFERROR(خدمات_الطباعة[[#This Row],[Column9]],"")</f>
        <v/>
      </c>
      <c r="AA18" s="1"/>
      <c r="AB18" s="313" t="str">
        <f>IFERROR(خدمات_الطباعة[[#This Row],[Column11]],"")</f>
        <v/>
      </c>
      <c r="AC18" s="315" t="str">
        <f>IFERROR(خدمات_الطباعة[[#This Row],[Column12]],"")</f>
        <v/>
      </c>
      <c r="AD18" s="298" t="str">
        <f>IFERROR(خدمات_الطباعة[[#This Row],[Column13]],"")</f>
        <v/>
      </c>
      <c r="AF18" s="323" t="str">
        <f>IFERROR(خدمات_الطباعة[[#This Row],[Column15]],"")</f>
        <v/>
      </c>
      <c r="AG18" s="323" t="str">
        <f>IFERROR(خدمات_الطباعة[[#This Row],[Column16]],"")</f>
        <v/>
      </c>
      <c r="AH18" s="315" t="str">
        <f>IFERROR(خدمات_الطباعة[[#This Row],[Column17]],"")</f>
        <v/>
      </c>
      <c r="AJ18" s="1"/>
      <c r="AK18" s="1"/>
      <c r="AL18" s="1"/>
    </row>
    <row r="19" spans="19:38" ht="18" x14ac:dyDescent="0.2">
      <c r="S19" s="313" t="str">
        <f>IFERROR(خدمات_الطباعة[[#This Row],[Column2]],"")</f>
        <v/>
      </c>
      <c r="T19" s="315" t="str">
        <f>IFERROR(خدمات_الطباعة[[#This Row],[Column3]],"")</f>
        <v/>
      </c>
      <c r="V19" s="323" t="str">
        <f>IFERROR(خدمات_الطباعة[[#This Row],[Column5]],"")</f>
        <v/>
      </c>
      <c r="W19" s="315" t="str">
        <f>IFERROR(خدمات_الطباعة[[#This Row],[Column6]],"")</f>
        <v/>
      </c>
      <c r="X19" s="1"/>
      <c r="Y19" s="313" t="str">
        <f>IFERROR(خدمات_الطباعة[[#This Row],[Column8]],"")</f>
        <v/>
      </c>
      <c r="Z19" s="315" t="str">
        <f>IFERROR(خدمات_الطباعة[[#This Row],[Column9]],"")</f>
        <v/>
      </c>
      <c r="AA19" s="1"/>
      <c r="AB19" s="313" t="str">
        <f>IFERROR(خدمات_الطباعة[[#This Row],[Column11]],"")</f>
        <v/>
      </c>
      <c r="AC19" s="315" t="str">
        <f>IFERROR(خدمات_الطباعة[[#This Row],[Column12]],"")</f>
        <v/>
      </c>
      <c r="AD19" s="298" t="str">
        <f>IFERROR(خدمات_الطباعة[[#This Row],[Column13]],"")</f>
        <v/>
      </c>
      <c r="AF19" s="323" t="str">
        <f>IFERROR(خدمات_الطباعة[[#This Row],[Column15]],"")</f>
        <v/>
      </c>
      <c r="AG19" s="323" t="str">
        <f>IFERROR(خدمات_الطباعة[[#This Row],[Column16]],"")</f>
        <v/>
      </c>
      <c r="AH19" s="315" t="str">
        <f>IFERROR(خدمات_الطباعة[[#This Row],[Column17]],"")</f>
        <v/>
      </c>
      <c r="AJ19" s="1"/>
      <c r="AK19" s="1"/>
      <c r="AL19" s="1"/>
    </row>
    <row r="20" spans="19:38" x14ac:dyDescent="0.2">
      <c r="X20" s="1"/>
      <c r="AA20" s="1"/>
      <c r="AJ20" s="1"/>
      <c r="AK20" s="1"/>
      <c r="AL20" s="1"/>
    </row>
    <row r="21" spans="19:38" x14ac:dyDescent="0.2">
      <c r="S21" s="298"/>
      <c r="T21" s="298"/>
      <c r="V21" s="298"/>
      <c r="X21" s="1"/>
      <c r="Y21" s="298"/>
      <c r="AA21" s="1"/>
      <c r="AB21" s="298"/>
      <c r="AJ21" s="1"/>
      <c r="AK21" s="1"/>
      <c r="AL21" s="1"/>
    </row>
    <row r="22" spans="19:38" x14ac:dyDescent="0.2">
      <c r="S22" s="298"/>
      <c r="T22" s="298"/>
      <c r="V22" s="298"/>
      <c r="X22" s="1"/>
      <c r="Y22" s="298"/>
      <c r="AA22" s="1"/>
      <c r="AB22" s="298"/>
      <c r="AJ22" s="1"/>
      <c r="AK22" s="1"/>
      <c r="AL22" s="1"/>
    </row>
    <row r="23" spans="19:38" x14ac:dyDescent="0.2">
      <c r="S23" s="298"/>
      <c r="T23" s="298"/>
      <c r="V23" s="298"/>
      <c r="X23" s="1"/>
      <c r="Y23" s="298"/>
      <c r="AA23" s="1"/>
      <c r="AB23" s="298"/>
      <c r="AJ23" s="1"/>
      <c r="AK23" s="1"/>
      <c r="AL23" s="1"/>
    </row>
    <row r="24" spans="19:38" x14ac:dyDescent="0.2">
      <c r="S24" s="298"/>
      <c r="T24" s="298"/>
      <c r="V24" s="298"/>
      <c r="X24" s="1"/>
      <c r="Y24" s="298"/>
      <c r="AA24" s="1"/>
      <c r="AB24" s="298"/>
      <c r="AJ24" s="1"/>
      <c r="AK24" s="1"/>
      <c r="AL24" s="1"/>
    </row>
    <row r="25" spans="19:38" x14ac:dyDescent="0.2">
      <c r="S25" s="298"/>
      <c r="T25" s="298"/>
      <c r="V25" s="298"/>
      <c r="X25" s="1"/>
      <c r="Y25" s="298"/>
      <c r="AA25" s="1"/>
      <c r="AB25" s="298"/>
      <c r="AJ25" s="1"/>
      <c r="AK25" s="1"/>
      <c r="AL25" s="1"/>
    </row>
    <row r="26" spans="19:38" x14ac:dyDescent="0.2">
      <c r="S26" s="298"/>
      <c r="T26" s="298"/>
      <c r="V26" s="298"/>
      <c r="X26" s="1"/>
      <c r="Y26" s="298"/>
      <c r="AA26" s="1"/>
      <c r="AB26" s="298"/>
      <c r="AJ26" s="1"/>
      <c r="AK26" s="1"/>
      <c r="AL26" s="1"/>
    </row>
    <row r="27" spans="19:38" x14ac:dyDescent="0.2">
      <c r="S27" s="298"/>
      <c r="T27" s="298"/>
      <c r="V27" s="298"/>
      <c r="X27" s="1"/>
      <c r="Y27" s="298"/>
      <c r="AA27" s="1"/>
      <c r="AB27" s="298"/>
      <c r="AJ27" s="1"/>
      <c r="AK27" s="1"/>
      <c r="AL27" s="1"/>
    </row>
    <row r="28" spans="19:38" x14ac:dyDescent="0.2">
      <c r="S28" s="298"/>
      <c r="T28" s="298"/>
      <c r="V28" s="298"/>
      <c r="X28" s="1"/>
      <c r="Y28" s="298"/>
      <c r="AA28" s="1"/>
      <c r="AB28" s="298"/>
      <c r="AJ28" s="1"/>
      <c r="AK28" s="1"/>
      <c r="AL28" s="1"/>
    </row>
    <row r="29" spans="19:38" x14ac:dyDescent="0.2">
      <c r="S29" s="298"/>
      <c r="T29" s="298"/>
      <c r="V29" s="298"/>
      <c r="X29" s="1"/>
      <c r="Y29" s="298"/>
      <c r="AA29" s="1"/>
      <c r="AB29" s="298"/>
      <c r="AJ29" s="1"/>
      <c r="AK29" s="1"/>
      <c r="AL29" s="1"/>
    </row>
    <row r="30" spans="19:38" x14ac:dyDescent="0.2">
      <c r="S30" s="298"/>
      <c r="T30" s="298"/>
      <c r="V30" s="298"/>
      <c r="X30" s="1"/>
      <c r="Y30" s="298"/>
      <c r="AA30" s="1"/>
      <c r="AB30" s="298"/>
      <c r="AJ30" s="1"/>
      <c r="AK30" s="1"/>
      <c r="AL30" s="1"/>
    </row>
    <row r="31" spans="19:38" x14ac:dyDescent="0.2">
      <c r="S31" s="298"/>
      <c r="T31" s="298"/>
      <c r="V31" s="298"/>
      <c r="X31" s="1"/>
      <c r="Y31" s="298"/>
      <c r="AA31" s="1"/>
      <c r="AB31" s="298"/>
      <c r="AJ31" s="1"/>
      <c r="AK31" s="1"/>
      <c r="AL31" s="1"/>
    </row>
    <row r="32" spans="19:38" x14ac:dyDescent="0.2">
      <c r="S32" s="298"/>
      <c r="T32" s="298"/>
      <c r="V32" s="298"/>
      <c r="X32" s="1"/>
      <c r="Y32" s="298"/>
      <c r="AA32" s="1"/>
      <c r="AB32" s="298"/>
      <c r="AJ32" s="1"/>
      <c r="AK32" s="1"/>
      <c r="AL32" s="1"/>
    </row>
    <row r="33" spans="19:38" x14ac:dyDescent="0.2">
      <c r="S33" s="298"/>
      <c r="T33" s="298"/>
      <c r="V33" s="298"/>
      <c r="X33" s="1"/>
      <c r="Y33" s="298"/>
      <c r="AA33" s="1"/>
      <c r="AB33" s="298"/>
      <c r="AJ33" s="1"/>
      <c r="AK33" s="1"/>
      <c r="AL33" s="1"/>
    </row>
    <row r="34" spans="19:38" x14ac:dyDescent="0.2">
      <c r="S34" s="298"/>
      <c r="T34" s="298"/>
      <c r="V34" s="298"/>
      <c r="X34" s="1"/>
      <c r="Y34" s="298"/>
      <c r="AA34" s="1"/>
      <c r="AB34" s="298"/>
      <c r="AJ34" s="1"/>
      <c r="AK34" s="1"/>
      <c r="AL34" s="1"/>
    </row>
    <row r="35" spans="19:38" x14ac:dyDescent="0.2">
      <c r="S35" s="298"/>
      <c r="T35" s="298"/>
      <c r="V35" s="298"/>
      <c r="X35" s="1"/>
      <c r="Y35" s="298"/>
      <c r="AA35" s="1"/>
      <c r="AB35" s="298"/>
      <c r="AJ35" s="1"/>
      <c r="AK35" s="1"/>
      <c r="AL35" s="1"/>
    </row>
    <row r="36" spans="19:38" x14ac:dyDescent="0.2">
      <c r="S36" s="298"/>
      <c r="T36" s="298"/>
      <c r="V36" s="298"/>
      <c r="X36" s="1"/>
      <c r="Y36" s="298"/>
      <c r="AA36" s="1"/>
      <c r="AB36" s="298"/>
      <c r="AJ36" s="1"/>
      <c r="AK36" s="1"/>
      <c r="AL36" s="1"/>
    </row>
    <row r="37" spans="19:38" x14ac:dyDescent="0.2">
      <c r="S37" s="298"/>
      <c r="T37" s="298"/>
      <c r="V37" s="298"/>
      <c r="X37" s="1"/>
      <c r="Y37" s="298"/>
      <c r="AA37" s="1"/>
      <c r="AB37" s="298"/>
      <c r="AJ37" s="1"/>
      <c r="AK37" s="1"/>
      <c r="AL37" s="1"/>
    </row>
  </sheetData>
  <mergeCells count="3">
    <mergeCell ref="AF2:AH2"/>
    <mergeCell ref="Y2:Z2"/>
    <mergeCell ref="AB2:AD2"/>
  </mergeCells>
  <dataValidations count="1">
    <dataValidation type="list" allowBlank="1" showInputMessage="1" showErrorMessage="1" sqref="AG4:AG19 P4:P11" xr:uid="{00000000-0002-0000-0B00-000000000000}">
      <formula1>"صغير,وسط,كبير"</formula1>
    </dataValidation>
  </dataValidations>
  <pageMargins left="0.7" right="0.7" top="0.75" bottom="0.75" header="0.3" footer="0.3"/>
  <pageSetup paperSize="9" orientation="portrait" r:id="rId1"/>
  <ignoredErrors>
    <ignoredError sqref="S4:S19 T4:T19 V4:W19 Y4:Z8 Y9:Z19 AB4:AD19 AF4:AH5 AF6:AF19 AH6:AH19" unlockedFormula="1"/>
    <ignoredError sqref="AG6:AG19" unlockedFormula="1" listDataValidation="1"/>
  </ignoredErrors>
  <drawing r:id="rId2"/>
  <tableParts count="6">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I20"/>
  <sheetViews>
    <sheetView showZeros="0" rightToLeft="1" workbookViewId="0">
      <selection activeCell="D11" sqref="D11"/>
    </sheetView>
  </sheetViews>
  <sheetFormatPr defaultColWidth="9" defaultRowHeight="14.25" x14ac:dyDescent="0.2"/>
  <cols>
    <col min="1" max="1" width="13.375" style="1" bestFit="1" customWidth="1"/>
    <col min="2" max="2" width="12.375" style="1" bestFit="1" customWidth="1"/>
    <col min="3" max="3" width="10" style="1" bestFit="1" customWidth="1"/>
    <col min="4" max="4" width="9" style="1" bestFit="1" customWidth="1"/>
    <col min="5" max="5" width="13.375" style="1" customWidth="1"/>
    <col min="6" max="6" width="12.875" style="298" hidden="1" customWidth="1"/>
    <col min="7" max="7" width="12" style="298" hidden="1" customWidth="1"/>
    <col min="8" max="8" width="15.375" style="298" hidden="1" customWidth="1"/>
    <col min="9" max="9" width="11" style="1" hidden="1" customWidth="1"/>
    <col min="10" max="10" width="9" style="1"/>
    <col min="11" max="11" width="7.125" style="1" bestFit="1" customWidth="1"/>
    <col min="12" max="12" width="7.875" style="1" bestFit="1" customWidth="1"/>
    <col min="13" max="13" width="6.25" style="1" bestFit="1" customWidth="1"/>
    <col min="14" max="16384" width="9" style="1"/>
  </cols>
  <sheetData>
    <row r="1" spans="1:9" x14ac:dyDescent="0.2">
      <c r="A1"/>
      <c r="B1"/>
      <c r="C1"/>
      <c r="D1"/>
    </row>
    <row r="2" spans="1:9" ht="20.25" x14ac:dyDescent="0.2">
      <c r="A2"/>
      <c r="F2" s="918" t="s">
        <v>213</v>
      </c>
      <c r="G2" s="918"/>
      <c r="H2" s="918"/>
    </row>
    <row r="3" spans="1:9" ht="21" thickBot="1" x14ac:dyDescent="0.25">
      <c r="A3"/>
      <c r="B3" s="420" t="s">
        <v>213</v>
      </c>
    </row>
    <row r="4" spans="1:9" ht="18.75" thickBot="1" x14ac:dyDescent="0.25">
      <c r="A4"/>
      <c r="F4" s="308" t="s">
        <v>78</v>
      </c>
      <c r="G4" s="309" t="s">
        <v>77</v>
      </c>
      <c r="H4" s="310" t="s">
        <v>80</v>
      </c>
      <c r="I4" s="326" t="s">
        <v>275</v>
      </c>
    </row>
    <row r="5" spans="1:9" ht="18.75" thickBot="1" x14ac:dyDescent="0.25">
      <c r="A5"/>
      <c r="B5" s="308" t="s">
        <v>78</v>
      </c>
      <c r="C5" s="309" t="s">
        <v>77</v>
      </c>
      <c r="D5" s="310" t="s">
        <v>80</v>
      </c>
      <c r="F5" s="311" t="str">
        <f>IFERROR(مكاتب_الفصل[[#This Row],[Column2]],"")</f>
        <v>اسم المكتب</v>
      </c>
      <c r="G5" s="143" t="str">
        <f>IFERROR(مكاتب_الفصل[[#This Row],[Column3]],"")</f>
        <v>مقاس الزنك</v>
      </c>
      <c r="H5" s="312" t="str">
        <f>IFERROR(مكاتب_الفصل[[#This Row],[Column4]],"")</f>
        <v>سعر الزنك</v>
      </c>
      <c r="I5" s="298"/>
    </row>
    <row r="6" spans="1:9" ht="18" x14ac:dyDescent="0.2">
      <c r="A6"/>
      <c r="B6" s="421" t="s">
        <v>135</v>
      </c>
      <c r="C6" s="1" t="s">
        <v>101</v>
      </c>
      <c r="D6" s="416" t="s">
        <v>290</v>
      </c>
      <c r="F6" s="313" t="str">
        <f>IFERROR(مكاتب_الفصل[[#This Row],[Column2]],"")</f>
        <v>الشيخ جميل</v>
      </c>
      <c r="G6" s="314" t="str">
        <f>IFERROR(مكاتب_الفصل[[#This Row],[Column3]],"")</f>
        <v>ثمن</v>
      </c>
      <c r="H6" s="315" t="str">
        <f>IFERROR(مكاتب_الفصل[[#This Row],[Column4]],"")</f>
        <v>25</v>
      </c>
      <c r="I6" s="298"/>
    </row>
    <row r="7" spans="1:9" ht="18" x14ac:dyDescent="0.2">
      <c r="A7"/>
      <c r="B7" s="421" t="s">
        <v>135</v>
      </c>
      <c r="C7" s="1" t="s">
        <v>85</v>
      </c>
      <c r="D7" s="416" t="s">
        <v>293</v>
      </c>
      <c r="F7" s="313" t="str">
        <f>IFERROR(مكاتب_الفصل[[#This Row],[Column2]],"")</f>
        <v>الشيخ جميل</v>
      </c>
      <c r="G7" s="314" t="str">
        <f>IFERROR(مكاتب_الفصل[[#This Row],[Column3]],"")</f>
        <v>ربع</v>
      </c>
      <c r="H7" s="315" t="str">
        <f>IFERROR(مكاتب_الفصل[[#This Row],[Column4]],"")</f>
        <v>0</v>
      </c>
      <c r="I7" s="298"/>
    </row>
    <row r="8" spans="1:9" ht="18" x14ac:dyDescent="0.2">
      <c r="A8"/>
      <c r="B8" s="421" t="s">
        <v>274</v>
      </c>
      <c r="C8" s="1" t="s">
        <v>85</v>
      </c>
      <c r="D8" s="416" t="s">
        <v>294</v>
      </c>
      <c r="F8" s="313" t="str">
        <f>IFERROR(مكاتب_الفصل[[#This Row],[Column2]],"")</f>
        <v>فور برنت</v>
      </c>
      <c r="G8" s="314" t="str">
        <f>IFERROR(مكاتب_الفصل[[#This Row],[Column3]],"")</f>
        <v>ربع</v>
      </c>
      <c r="H8" s="315" t="str">
        <f>IFERROR(مكاتب_الفصل[[#This Row],[Column4]],"")</f>
        <v>38</v>
      </c>
      <c r="I8" s="298"/>
    </row>
    <row r="9" spans="1:9" ht="18" x14ac:dyDescent="0.2">
      <c r="A9"/>
      <c r="B9" s="421" t="s">
        <v>216</v>
      </c>
      <c r="C9" s="1" t="s">
        <v>85</v>
      </c>
      <c r="D9" s="416" t="s">
        <v>272</v>
      </c>
      <c r="F9" s="313" t="str">
        <f>IFERROR(مكاتب_الفصل[[#This Row],[Column2]],"")</f>
        <v>بيكسل برنت</v>
      </c>
      <c r="G9" s="314" t="str">
        <f>IFERROR(مكاتب_الفصل[[#This Row],[Column3]],"")</f>
        <v>ربع</v>
      </c>
      <c r="H9" s="315" t="str">
        <f>IFERROR(مكاتب_الفصل[[#This Row],[Column4]],"")</f>
        <v>60</v>
      </c>
      <c r="I9" s="298"/>
    </row>
    <row r="10" spans="1:9" ht="18" x14ac:dyDescent="0.2">
      <c r="A10"/>
      <c r="B10" s="421" t="s">
        <v>277</v>
      </c>
      <c r="C10" s="1" t="s">
        <v>85</v>
      </c>
      <c r="D10" s="416" t="s">
        <v>295</v>
      </c>
      <c r="F10" s="313" t="str">
        <f>IFERROR(مكاتب_الفصل[[#This Row],[Column2]],"")</f>
        <v>أبو ليل</v>
      </c>
      <c r="G10" s="314" t="str">
        <f>IFERROR(مكاتب_الفصل[[#This Row],[Column3]],"")</f>
        <v>ربع</v>
      </c>
      <c r="H10" s="315" t="str">
        <f>IFERROR(مكاتب_الفصل[[#This Row],[Column4]],"")</f>
        <v>75</v>
      </c>
      <c r="I10" s="298"/>
    </row>
    <row r="11" spans="1:9" ht="18" x14ac:dyDescent="0.2">
      <c r="A11"/>
      <c r="B11" s="421" t="s">
        <v>277</v>
      </c>
      <c r="C11" s="1" t="s">
        <v>110</v>
      </c>
      <c r="D11" s="416" t="s">
        <v>259</v>
      </c>
      <c r="F11" s="313" t="str">
        <f>IFERROR(مكاتب_الفصل[[#This Row],[Column2]],"")</f>
        <v>أبو ليل</v>
      </c>
      <c r="G11" s="314" t="str">
        <f>IFERROR(مكاتب_الفصل[[#This Row],[Column3]],"")</f>
        <v>نص</v>
      </c>
      <c r="H11" s="315" t="str">
        <f>IFERROR(مكاتب_الفصل[[#This Row],[Column4]],"")</f>
        <v>150</v>
      </c>
      <c r="I11" s="298"/>
    </row>
    <row r="12" spans="1:9" ht="18" x14ac:dyDescent="0.2">
      <c r="A12"/>
      <c r="B12" s="421" t="s">
        <v>277</v>
      </c>
      <c r="C12" s="1" t="s">
        <v>115</v>
      </c>
      <c r="D12" s="416" t="s">
        <v>260</v>
      </c>
      <c r="F12" s="313" t="str">
        <f>IFERROR(مكاتب_الفصل[[#This Row],[Column2]],"")</f>
        <v>أبو ليل</v>
      </c>
      <c r="G12" s="314" t="str">
        <f>IFERROR(مكاتب_الفصل[[#This Row],[Column3]],"")</f>
        <v>فرخ</v>
      </c>
      <c r="H12" s="315" t="str">
        <f>IFERROR(مكاتب_الفصل[[#This Row],[Column4]],"")</f>
        <v>250</v>
      </c>
      <c r="I12" s="298"/>
    </row>
    <row r="13" spans="1:9" ht="18" x14ac:dyDescent="0.2">
      <c r="A13"/>
      <c r="B13" s="421"/>
      <c r="D13" s="416"/>
      <c r="F13" s="313">
        <f>IFERROR(مكاتب_الفصل[[#This Row],[Column2]],"")</f>
        <v>0</v>
      </c>
      <c r="G13" s="314">
        <f>IFERROR(مكاتب_الفصل[[#This Row],[Column3]],"")</f>
        <v>0</v>
      </c>
      <c r="H13" s="315">
        <f>IFERROR(مكاتب_الفصل[[#This Row],[Column4]],"")</f>
        <v>0</v>
      </c>
      <c r="I13" s="298"/>
    </row>
    <row r="14" spans="1:9" ht="18" x14ac:dyDescent="0.2">
      <c r="A14"/>
      <c r="B14" s="421"/>
      <c r="D14" s="416"/>
      <c r="F14" s="313">
        <f>IFERROR(مكاتب_الفصل[[#This Row],[Column2]],"")</f>
        <v>0</v>
      </c>
      <c r="G14" s="314">
        <f>IFERROR(مكاتب_الفصل[[#This Row],[Column3]],"")</f>
        <v>0</v>
      </c>
      <c r="H14" s="315">
        <f>IFERROR(مكاتب_الفصل[[#This Row],[Column4]],"")</f>
        <v>0</v>
      </c>
      <c r="I14" s="298"/>
    </row>
    <row r="15" spans="1:9" ht="18" x14ac:dyDescent="0.2">
      <c r="A15"/>
      <c r="B15" s="421"/>
      <c r="D15" s="416"/>
      <c r="F15" s="313">
        <f>IFERROR(مكاتب_الفصل[[#This Row],[Column2]],"")</f>
        <v>0</v>
      </c>
      <c r="G15" s="314">
        <f>IFERROR(مكاتب_الفصل[[#This Row],[Column3]],"")</f>
        <v>0</v>
      </c>
      <c r="H15" s="315">
        <f>IFERROR(مكاتب_الفصل[[#This Row],[Column4]],"")</f>
        <v>0</v>
      </c>
      <c r="I15" s="298"/>
    </row>
    <row r="16" spans="1:9" ht="18" x14ac:dyDescent="0.2">
      <c r="A16"/>
      <c r="B16" s="421"/>
      <c r="D16" s="416"/>
      <c r="F16" s="313">
        <f>IFERROR(مكاتب_الفصل[[#This Row],[Column2]],"")</f>
        <v>0</v>
      </c>
      <c r="G16" s="314">
        <f>IFERROR(مكاتب_الفصل[[#This Row],[Column3]],"")</f>
        <v>0</v>
      </c>
      <c r="H16" s="315">
        <f>IFERROR(مكاتب_الفصل[[#This Row],[Column4]],"")</f>
        <v>0</v>
      </c>
      <c r="I16" s="298"/>
    </row>
    <row r="17" spans="1:9" ht="18" x14ac:dyDescent="0.2">
      <c r="A17"/>
      <c r="B17" s="421"/>
      <c r="D17" s="416"/>
      <c r="F17" s="313">
        <f>IFERROR(مكاتب_الفصل[[#This Row],[Column2]],"")</f>
        <v>0</v>
      </c>
      <c r="G17" s="314">
        <f>IFERROR(مكاتب_الفصل[[#This Row],[Column3]],"")</f>
        <v>0</v>
      </c>
      <c r="H17" s="315">
        <f>IFERROR(مكاتب_الفصل[[#This Row],[Column4]],"")</f>
        <v>0</v>
      </c>
      <c r="I17" s="298"/>
    </row>
    <row r="18" spans="1:9" ht="18" x14ac:dyDescent="0.2">
      <c r="A18"/>
      <c r="B18" s="421"/>
      <c r="D18" s="416"/>
      <c r="F18" s="313">
        <f>IFERROR(مكاتب_الفصل[[#This Row],[Column2]],"")</f>
        <v>0</v>
      </c>
      <c r="G18" s="314">
        <f>IFERROR(مكاتب_الفصل[[#This Row],[Column3]],"")</f>
        <v>0</v>
      </c>
      <c r="H18" s="315">
        <f>IFERROR(مكاتب_الفصل[[#This Row],[Column4]],"")</f>
        <v>0</v>
      </c>
      <c r="I18" s="298"/>
    </row>
    <row r="19" spans="1:9" ht="18" x14ac:dyDescent="0.2">
      <c r="A19"/>
      <c r="B19" s="421"/>
      <c r="D19" s="416"/>
      <c r="F19" s="313">
        <f>IFERROR(مكاتب_الفصل[[#This Row],[Column2]],"")</f>
        <v>0</v>
      </c>
      <c r="G19" s="314">
        <f>IFERROR(مكاتب_الفصل[[#This Row],[Column3]],"")</f>
        <v>0</v>
      </c>
      <c r="H19" s="315">
        <f>IFERROR(مكاتب_الفصل[[#This Row],[Column4]],"")</f>
        <v>0</v>
      </c>
      <c r="I19" s="298"/>
    </row>
    <row r="20" spans="1:9" ht="15" thickBot="1" x14ac:dyDescent="0.25">
      <c r="A20"/>
      <c r="B20" s="422"/>
      <c r="C20" s="418"/>
      <c r="D20" s="419"/>
    </row>
  </sheetData>
  <mergeCells count="1">
    <mergeCell ref="F2:H2"/>
  </mergeCells>
  <pageMargins left="0.7" right="0.7" top="0.75" bottom="0.75" header="0.3" footer="0.3"/>
  <pageSetup paperSize="9" orientation="portrait" r:id="rId1"/>
  <ignoredErrors>
    <ignoredError sqref="F6:G19 F5:G5 I5 I6:I19" unlockedFormula="1"/>
  </ignoredErrors>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AG74"/>
  <sheetViews>
    <sheetView showZeros="0" rightToLeft="1" workbookViewId="0">
      <selection activeCell="O7" sqref="O7"/>
    </sheetView>
  </sheetViews>
  <sheetFormatPr defaultColWidth="9" defaultRowHeight="14.25" x14ac:dyDescent="0.2"/>
  <cols>
    <col min="1" max="1" width="2.375" style="1" customWidth="1"/>
    <col min="2" max="2" width="12.5" style="298" bestFit="1" customWidth="1"/>
    <col min="3" max="3" width="12.25" style="298" bestFit="1" customWidth="1"/>
    <col min="4" max="4" width="3.875" style="298" bestFit="1" customWidth="1"/>
    <col min="5" max="5" width="6.875" style="298" bestFit="1" customWidth="1"/>
    <col min="6" max="6" width="9.5" style="298" bestFit="1" customWidth="1"/>
    <col min="7" max="7" width="9.875" style="298" bestFit="1" customWidth="1"/>
    <col min="8" max="8" width="8.625" style="298" bestFit="1" customWidth="1"/>
    <col min="9" max="9" width="10.625" style="298" bestFit="1" customWidth="1"/>
    <col min="10" max="10" width="7.25" style="298" bestFit="1" customWidth="1"/>
    <col min="11" max="11" width="8" style="298" bestFit="1" customWidth="1"/>
    <col min="12" max="12" width="7.75" style="298" bestFit="1" customWidth="1"/>
    <col min="13" max="13" width="5.625" style="1" customWidth="1"/>
    <col min="14" max="14" width="6.875" style="1" bestFit="1" customWidth="1"/>
    <col min="15" max="15" width="12.5" style="1" bestFit="1" customWidth="1"/>
    <col min="16" max="16" width="6.375" style="1" bestFit="1" customWidth="1"/>
    <col min="17" max="17" width="9.5" style="1" bestFit="1" customWidth="1"/>
    <col min="18" max="19" width="11.125" style="1" bestFit="1" customWidth="1"/>
    <col min="20" max="20" width="13.25" style="1" bestFit="1" customWidth="1"/>
    <col min="21" max="21" width="11.25" style="1" bestFit="1" customWidth="1"/>
    <col min="22" max="22" width="16.25" style="1" bestFit="1" customWidth="1"/>
    <col min="23" max="23" width="10.875" style="1" bestFit="1" customWidth="1"/>
    <col min="24" max="26" width="12" style="1" bestFit="1" customWidth="1"/>
    <col min="27" max="27" width="9.875" style="1" bestFit="1" customWidth="1"/>
    <col min="28" max="29" width="12" style="1" bestFit="1" customWidth="1"/>
    <col min="30" max="30" width="12.625" style="1" bestFit="1" customWidth="1"/>
    <col min="31" max="32" width="12" style="1" bestFit="1" customWidth="1"/>
    <col min="33" max="33" width="11.25" style="1" bestFit="1" customWidth="1"/>
    <col min="34" max="16384" width="9" style="1"/>
  </cols>
  <sheetData>
    <row r="2" spans="2:33" ht="15.75" thickBot="1" x14ac:dyDescent="0.25">
      <c r="B2" s="299" t="s">
        <v>103</v>
      </c>
      <c r="C2" s="299" t="s">
        <v>72</v>
      </c>
      <c r="D2" s="299" t="s">
        <v>104</v>
      </c>
      <c r="E2" s="299" t="s">
        <v>105</v>
      </c>
      <c r="F2" s="299" t="s">
        <v>106</v>
      </c>
      <c r="G2" s="299" t="s">
        <v>109</v>
      </c>
      <c r="H2" s="300" t="s">
        <v>108</v>
      </c>
      <c r="I2" s="299" t="s">
        <v>174</v>
      </c>
      <c r="J2" s="299" t="s">
        <v>140</v>
      </c>
      <c r="K2" s="299" t="s">
        <v>141</v>
      </c>
      <c r="L2" s="299" t="s">
        <v>142</v>
      </c>
    </row>
    <row r="3" spans="2:33" ht="16.5" thickBot="1" x14ac:dyDescent="0.25">
      <c r="B3" s="301" t="s">
        <v>111</v>
      </c>
      <c r="C3" s="298" t="s">
        <v>112</v>
      </c>
      <c r="D3" s="302">
        <v>150</v>
      </c>
      <c r="E3" s="298" t="s">
        <v>114</v>
      </c>
      <c r="F3" s="298" t="s">
        <v>193</v>
      </c>
      <c r="G3" s="303" t="s">
        <v>301</v>
      </c>
      <c r="H3" s="304">
        <v>6.07</v>
      </c>
      <c r="I3" s="110"/>
      <c r="J3" s="110"/>
      <c r="K3" s="110"/>
      <c r="L3" s="110"/>
      <c r="N3" s="305" t="s">
        <v>105</v>
      </c>
      <c r="O3" s="306" t="s">
        <v>103</v>
      </c>
      <c r="P3" s="306" t="s">
        <v>104</v>
      </c>
      <c r="Q3" s="307" t="s">
        <v>106</v>
      </c>
      <c r="V3" s="33"/>
      <c r="W3" s="33"/>
      <c r="X3" s="33"/>
      <c r="Y3" s="33"/>
      <c r="Z3" s="33"/>
      <c r="AA3" s="33"/>
      <c r="AB3" s="33"/>
      <c r="AC3" s="33"/>
      <c r="AD3" s="33"/>
      <c r="AE3" s="33"/>
      <c r="AF3" s="33"/>
      <c r="AG3" s="33"/>
    </row>
    <row r="4" spans="2:33" ht="15.75" x14ac:dyDescent="0.2">
      <c r="B4" s="301" t="s">
        <v>133</v>
      </c>
      <c r="C4" s="298" t="s">
        <v>313</v>
      </c>
      <c r="D4" s="302">
        <v>100</v>
      </c>
      <c r="E4" s="298" t="s">
        <v>182</v>
      </c>
      <c r="F4" s="298" t="s">
        <v>113</v>
      </c>
      <c r="G4" s="303" t="s">
        <v>314</v>
      </c>
      <c r="H4" s="304">
        <v>6</v>
      </c>
      <c r="I4" s="110"/>
      <c r="J4" s="110"/>
      <c r="K4" s="110"/>
      <c r="L4" s="110"/>
      <c r="N4" s="425" t="s">
        <v>220</v>
      </c>
      <c r="O4" s="425" t="s">
        <v>111</v>
      </c>
      <c r="P4" s="426">
        <v>60</v>
      </c>
      <c r="Q4" s="425" t="s">
        <v>113</v>
      </c>
      <c r="V4" s="33"/>
      <c r="W4" s="33"/>
      <c r="X4" s="33"/>
      <c r="Y4" s="33"/>
      <c r="Z4" s="33"/>
      <c r="AA4" s="33"/>
      <c r="AB4" s="33"/>
      <c r="AC4" s="33"/>
      <c r="AD4" s="33"/>
      <c r="AE4" s="33"/>
      <c r="AF4" s="33"/>
      <c r="AG4" s="33"/>
    </row>
    <row r="5" spans="2:33" ht="15.75" x14ac:dyDescent="0.2">
      <c r="B5" s="301" t="s">
        <v>228</v>
      </c>
      <c r="C5" s="298" t="s">
        <v>112</v>
      </c>
      <c r="D5" s="302">
        <v>240</v>
      </c>
      <c r="E5" s="298" t="s">
        <v>114</v>
      </c>
      <c r="F5" s="298" t="s">
        <v>113</v>
      </c>
      <c r="G5" s="303" t="s">
        <v>286</v>
      </c>
      <c r="H5" s="304">
        <v>10.5</v>
      </c>
      <c r="I5" s="110"/>
      <c r="J5" s="110"/>
      <c r="K5" s="110"/>
      <c r="L5" s="110"/>
      <c r="N5" s="425" t="s">
        <v>128</v>
      </c>
      <c r="O5" s="425" t="s">
        <v>133</v>
      </c>
      <c r="P5" s="426">
        <v>70</v>
      </c>
      <c r="Q5" s="425" t="s">
        <v>222</v>
      </c>
      <c r="V5" s="33"/>
      <c r="W5" s="33"/>
      <c r="X5" s="33"/>
      <c r="Y5" s="33"/>
      <c r="Z5" s="33"/>
      <c r="AA5" s="33"/>
      <c r="AB5" s="33"/>
      <c r="AC5" s="33"/>
      <c r="AD5" s="33"/>
      <c r="AE5" s="33"/>
      <c r="AF5" s="33"/>
      <c r="AG5" s="33"/>
    </row>
    <row r="6" spans="2:33" ht="15.75" x14ac:dyDescent="0.2">
      <c r="B6" s="301" t="s">
        <v>111</v>
      </c>
      <c r="C6" s="298" t="s">
        <v>112</v>
      </c>
      <c r="D6" s="302">
        <v>200</v>
      </c>
      <c r="E6" s="298" t="s">
        <v>220</v>
      </c>
      <c r="F6" s="298" t="s">
        <v>113</v>
      </c>
      <c r="G6" s="303" t="s">
        <v>315</v>
      </c>
      <c r="H6" s="304">
        <v>8.25</v>
      </c>
      <c r="I6" s="110"/>
      <c r="J6" s="110"/>
      <c r="K6" s="110"/>
      <c r="L6" s="110"/>
      <c r="N6" s="425" t="s">
        <v>226</v>
      </c>
      <c r="O6" s="425" t="s">
        <v>224</v>
      </c>
      <c r="P6" s="426">
        <v>80</v>
      </c>
      <c r="Q6" s="425" t="s">
        <v>231</v>
      </c>
      <c r="V6" s="33"/>
      <c r="W6" s="33"/>
      <c r="X6" s="33"/>
      <c r="Y6" s="33"/>
      <c r="Z6" s="33"/>
      <c r="AA6" s="33"/>
      <c r="AB6" s="33"/>
      <c r="AC6" s="33"/>
      <c r="AD6" s="33"/>
      <c r="AE6" s="33"/>
      <c r="AF6" s="33"/>
      <c r="AG6" s="33"/>
    </row>
    <row r="7" spans="2:33" ht="15.75" x14ac:dyDescent="0.2">
      <c r="B7" s="301" t="s">
        <v>111</v>
      </c>
      <c r="C7" s="298" t="s">
        <v>223</v>
      </c>
      <c r="D7" s="302">
        <v>200</v>
      </c>
      <c r="E7" s="298" t="s">
        <v>220</v>
      </c>
      <c r="F7" s="298" t="s">
        <v>113</v>
      </c>
      <c r="G7" s="303" t="s">
        <v>315</v>
      </c>
      <c r="H7" s="304">
        <v>6.6</v>
      </c>
      <c r="I7" s="110"/>
      <c r="J7" s="110"/>
      <c r="K7" s="110"/>
      <c r="L7" s="110"/>
      <c r="N7" s="425" t="s">
        <v>182</v>
      </c>
      <c r="O7" s="425" t="s">
        <v>225</v>
      </c>
      <c r="P7" s="426">
        <v>100</v>
      </c>
      <c r="Q7" s="425" t="s">
        <v>193</v>
      </c>
      <c r="V7" s="33"/>
      <c r="W7" s="33"/>
      <c r="X7" s="33"/>
      <c r="Y7" s="33"/>
      <c r="Z7" s="33"/>
      <c r="AA7" s="33"/>
      <c r="AB7" s="33"/>
      <c r="AC7" s="33"/>
      <c r="AD7" s="33"/>
      <c r="AE7" s="33"/>
      <c r="AF7" s="33"/>
      <c r="AG7" s="33"/>
    </row>
    <row r="8" spans="2:33" ht="15.75" x14ac:dyDescent="0.2">
      <c r="B8" s="301" t="s">
        <v>111</v>
      </c>
      <c r="C8" s="298" t="s">
        <v>112</v>
      </c>
      <c r="D8" s="302">
        <v>300</v>
      </c>
      <c r="E8" s="298" t="s">
        <v>308</v>
      </c>
      <c r="F8" s="298" t="s">
        <v>307</v>
      </c>
      <c r="G8" s="303">
        <v>45934</v>
      </c>
      <c r="H8" s="304">
        <v>12</v>
      </c>
      <c r="I8" s="110"/>
      <c r="J8" s="110"/>
      <c r="K8" s="110"/>
      <c r="L8" s="110"/>
      <c r="N8" s="425" t="s">
        <v>229</v>
      </c>
      <c r="O8" s="425" t="s">
        <v>228</v>
      </c>
      <c r="P8" s="426">
        <v>130</v>
      </c>
      <c r="Q8" s="425" t="s">
        <v>171</v>
      </c>
      <c r="V8" s="33"/>
      <c r="W8" s="33"/>
      <c r="X8" s="33"/>
      <c r="Y8" s="33"/>
      <c r="Z8" s="33"/>
      <c r="AA8" s="33"/>
      <c r="AB8" s="33"/>
      <c r="AC8" s="33"/>
      <c r="AD8" s="33"/>
      <c r="AE8" s="33"/>
      <c r="AF8" s="33"/>
      <c r="AG8" s="33"/>
    </row>
    <row r="9" spans="2:33" ht="15.75" x14ac:dyDescent="0.2">
      <c r="B9" s="301" t="s">
        <v>111</v>
      </c>
      <c r="C9" s="298" t="s">
        <v>112</v>
      </c>
      <c r="D9" s="302">
        <v>300</v>
      </c>
      <c r="E9" s="298" t="s">
        <v>220</v>
      </c>
      <c r="F9" s="298" t="s">
        <v>171</v>
      </c>
      <c r="G9" s="303">
        <v>45642</v>
      </c>
      <c r="H9" s="304">
        <v>12</v>
      </c>
      <c r="I9" s="110"/>
      <c r="J9" s="110"/>
      <c r="K9" s="110"/>
      <c r="L9" s="110"/>
      <c r="N9" s="425" t="s">
        <v>224</v>
      </c>
      <c r="O9" s="425" t="s">
        <v>321</v>
      </c>
      <c r="P9" s="426">
        <v>150</v>
      </c>
      <c r="Q9" s="425" t="s">
        <v>307</v>
      </c>
      <c r="V9" s="33"/>
      <c r="W9" s="33"/>
      <c r="X9" s="33"/>
      <c r="Y9" s="33"/>
      <c r="Z9" s="33"/>
      <c r="AA9" s="33"/>
      <c r="AB9" s="33"/>
      <c r="AC9" s="33"/>
      <c r="AD9" s="33"/>
      <c r="AE9" s="33"/>
      <c r="AF9" s="33"/>
      <c r="AG9" s="33"/>
    </row>
    <row r="10" spans="2:33" ht="15.75" x14ac:dyDescent="0.2">
      <c r="B10" s="301" t="s">
        <v>111</v>
      </c>
      <c r="C10" s="298" t="s">
        <v>313</v>
      </c>
      <c r="D10" s="302">
        <v>250</v>
      </c>
      <c r="E10" s="298" t="s">
        <v>284</v>
      </c>
      <c r="F10" s="298" t="s">
        <v>113</v>
      </c>
      <c r="G10" s="303">
        <v>45566</v>
      </c>
      <c r="H10" s="304">
        <v>8.5</v>
      </c>
      <c r="I10" s="110"/>
      <c r="J10" s="110"/>
      <c r="K10" s="110"/>
      <c r="L10" s="110"/>
      <c r="N10" s="425" t="s">
        <v>321</v>
      </c>
      <c r="O10" s="425" t="s">
        <v>306</v>
      </c>
      <c r="P10" s="426">
        <v>200</v>
      </c>
      <c r="Q10" s="425" t="s">
        <v>321</v>
      </c>
      <c r="V10" s="33"/>
      <c r="W10" s="33"/>
      <c r="X10" s="33"/>
      <c r="Y10" s="33"/>
      <c r="Z10" s="33"/>
      <c r="AA10" s="33"/>
      <c r="AB10" s="33"/>
      <c r="AC10" s="33"/>
      <c r="AD10" s="33"/>
      <c r="AE10" s="33"/>
      <c r="AF10" s="33"/>
      <c r="AG10" s="33"/>
    </row>
    <row r="11" spans="2:33" ht="15.75" x14ac:dyDescent="0.2">
      <c r="B11" s="301" t="s">
        <v>133</v>
      </c>
      <c r="C11" s="298" t="s">
        <v>223</v>
      </c>
      <c r="D11" s="302">
        <v>70</v>
      </c>
      <c r="E11" s="298" t="s">
        <v>128</v>
      </c>
      <c r="F11" s="298" t="s">
        <v>113</v>
      </c>
      <c r="G11" s="303">
        <v>45566</v>
      </c>
      <c r="H11" s="304">
        <v>2</v>
      </c>
      <c r="I11" s="110"/>
      <c r="J11" s="110"/>
      <c r="K11" s="110"/>
      <c r="L11" s="110"/>
      <c r="N11" s="425" t="s">
        <v>114</v>
      </c>
      <c r="O11" s="425" t="s">
        <v>316</v>
      </c>
      <c r="P11" s="426">
        <v>250</v>
      </c>
      <c r="Q11" s="425"/>
      <c r="V11" s="33"/>
      <c r="W11" s="33"/>
      <c r="X11" s="33"/>
      <c r="Y11" s="33"/>
      <c r="Z11" s="33"/>
      <c r="AA11" s="33"/>
      <c r="AB11" s="33"/>
      <c r="AC11" s="33"/>
      <c r="AD11" s="33"/>
      <c r="AE11" s="33"/>
      <c r="AF11" s="33"/>
      <c r="AG11" s="33"/>
    </row>
    <row r="12" spans="2:33" ht="15.75" x14ac:dyDescent="0.2">
      <c r="B12" s="301" t="s">
        <v>133</v>
      </c>
      <c r="C12" s="298" t="s">
        <v>223</v>
      </c>
      <c r="D12" s="302">
        <v>70</v>
      </c>
      <c r="E12" s="298" t="s">
        <v>182</v>
      </c>
      <c r="F12" s="298" t="s">
        <v>231</v>
      </c>
      <c r="G12" s="303">
        <v>45587</v>
      </c>
      <c r="H12" s="304">
        <v>2.2000000000000002</v>
      </c>
      <c r="I12" s="110"/>
      <c r="J12" s="110"/>
      <c r="K12" s="110"/>
      <c r="L12" s="110"/>
      <c r="N12" s="425" t="s">
        <v>283</v>
      </c>
      <c r="O12" s="425" t="s">
        <v>318</v>
      </c>
      <c r="P12" s="426">
        <v>300</v>
      </c>
      <c r="Q12" s="425"/>
      <c r="V12" s="33"/>
      <c r="W12" s="33"/>
      <c r="X12" s="33"/>
      <c r="Y12" s="33"/>
      <c r="Z12" s="33"/>
      <c r="AA12" s="33"/>
      <c r="AB12" s="33"/>
      <c r="AC12" s="33"/>
      <c r="AD12" s="33"/>
      <c r="AE12" s="33"/>
      <c r="AF12" s="33"/>
      <c r="AG12" s="33"/>
    </row>
    <row r="13" spans="2:33" ht="15.75" x14ac:dyDescent="0.2">
      <c r="B13" s="301" t="s">
        <v>111</v>
      </c>
      <c r="C13" s="298" t="s">
        <v>223</v>
      </c>
      <c r="D13" s="302">
        <v>250</v>
      </c>
      <c r="E13" s="298" t="s">
        <v>220</v>
      </c>
      <c r="F13" s="298" t="s">
        <v>231</v>
      </c>
      <c r="G13" s="303">
        <v>45587</v>
      </c>
      <c r="H13" s="304">
        <v>9.5</v>
      </c>
      <c r="I13" s="110"/>
      <c r="J13" s="110"/>
      <c r="K13" s="110"/>
      <c r="L13" s="110"/>
      <c r="N13" s="425" t="s">
        <v>284</v>
      </c>
      <c r="O13" s="425"/>
      <c r="P13" s="426">
        <v>350</v>
      </c>
      <c r="Q13" s="425"/>
      <c r="V13" s="33"/>
      <c r="W13" s="33"/>
      <c r="X13" s="33"/>
      <c r="Y13" s="33"/>
      <c r="Z13" s="33"/>
      <c r="AA13" s="33"/>
      <c r="AB13" s="33"/>
      <c r="AC13" s="33"/>
      <c r="AD13" s="33"/>
      <c r="AE13" s="33"/>
      <c r="AF13" s="33"/>
      <c r="AG13" s="33"/>
    </row>
    <row r="14" spans="2:33" ht="15.75" x14ac:dyDescent="0.2">
      <c r="B14" s="301" t="s">
        <v>111</v>
      </c>
      <c r="C14" s="298" t="s">
        <v>223</v>
      </c>
      <c r="D14" s="302">
        <v>150</v>
      </c>
      <c r="E14" s="298" t="s">
        <v>220</v>
      </c>
      <c r="F14" s="298" t="s">
        <v>231</v>
      </c>
      <c r="G14" s="303">
        <v>45587</v>
      </c>
      <c r="H14" s="304">
        <v>5.5</v>
      </c>
      <c r="I14" s="110"/>
      <c r="J14" s="110"/>
      <c r="K14" s="110"/>
      <c r="L14" s="110"/>
      <c r="N14" s="425" t="s">
        <v>308</v>
      </c>
      <c r="O14" s="425"/>
      <c r="P14" s="426" t="s">
        <v>309</v>
      </c>
      <c r="Q14" s="425"/>
      <c r="V14" s="33"/>
      <c r="W14" s="33"/>
      <c r="X14" s="33"/>
      <c r="Y14" s="33"/>
      <c r="Z14" s="33"/>
      <c r="AA14" s="33"/>
      <c r="AB14" s="33"/>
      <c r="AC14" s="33"/>
      <c r="AD14" s="33"/>
      <c r="AE14" s="33"/>
      <c r="AF14" s="33"/>
      <c r="AG14" s="33"/>
    </row>
    <row r="15" spans="2:33" ht="15.75" x14ac:dyDescent="0.2">
      <c r="B15" s="301" t="s">
        <v>111</v>
      </c>
      <c r="C15" s="298" t="s">
        <v>223</v>
      </c>
      <c r="D15" s="302">
        <v>150</v>
      </c>
      <c r="E15" s="298" t="s">
        <v>284</v>
      </c>
      <c r="F15" s="298" t="s">
        <v>113</v>
      </c>
      <c r="G15" s="303">
        <v>45566</v>
      </c>
      <c r="H15" s="304">
        <v>5</v>
      </c>
      <c r="I15" s="110"/>
      <c r="J15" s="110"/>
      <c r="K15" s="110"/>
      <c r="L15" s="110"/>
      <c r="N15" s="425"/>
      <c r="O15" s="425"/>
      <c r="P15" s="426" t="s">
        <v>319</v>
      </c>
      <c r="Q15" s="425"/>
      <c r="V15" s="33"/>
      <c r="W15" s="33"/>
      <c r="X15" s="33"/>
      <c r="Y15" s="33"/>
      <c r="Z15" s="33"/>
      <c r="AA15" s="33"/>
      <c r="AB15" s="33"/>
      <c r="AC15" s="33"/>
      <c r="AD15" s="33"/>
      <c r="AE15" s="33"/>
      <c r="AF15" s="33"/>
      <c r="AG15" s="33"/>
    </row>
    <row r="16" spans="2:33" ht="15.75" x14ac:dyDescent="0.2">
      <c r="B16" s="301" t="s">
        <v>224</v>
      </c>
      <c r="C16" s="298" t="s">
        <v>112</v>
      </c>
      <c r="D16" s="302">
        <v>300</v>
      </c>
      <c r="E16" s="298" t="s">
        <v>224</v>
      </c>
      <c r="F16" s="298" t="s">
        <v>113</v>
      </c>
      <c r="G16" s="303">
        <v>45566</v>
      </c>
      <c r="H16" s="304">
        <v>10</v>
      </c>
      <c r="I16" s="110">
        <v>0</v>
      </c>
      <c r="J16" s="110"/>
      <c r="K16" s="110"/>
      <c r="L16" s="110"/>
      <c r="N16" s="425"/>
      <c r="O16" s="425"/>
      <c r="P16" s="426" t="s">
        <v>259</v>
      </c>
      <c r="Q16" s="425"/>
      <c r="V16" s="33"/>
      <c r="W16" s="33"/>
      <c r="X16" s="33"/>
      <c r="Y16" s="33"/>
      <c r="Z16" s="33"/>
      <c r="AA16" s="33"/>
      <c r="AB16" s="33"/>
      <c r="AC16" s="33"/>
      <c r="AD16" s="33"/>
      <c r="AE16" s="33"/>
      <c r="AF16" s="33"/>
      <c r="AG16" s="33"/>
    </row>
    <row r="17" spans="2:33" ht="15.75" x14ac:dyDescent="0.2">
      <c r="B17" s="301" t="s">
        <v>133</v>
      </c>
      <c r="C17" s="298" t="s">
        <v>112</v>
      </c>
      <c r="D17" s="302">
        <v>70</v>
      </c>
      <c r="E17" s="298" t="s">
        <v>182</v>
      </c>
      <c r="F17" s="298" t="s">
        <v>113</v>
      </c>
      <c r="G17" s="303">
        <v>46131</v>
      </c>
      <c r="H17" s="304">
        <v>3.05</v>
      </c>
      <c r="I17" s="110">
        <v>0</v>
      </c>
      <c r="J17" s="110"/>
      <c r="K17" s="110"/>
      <c r="L17" s="110"/>
      <c r="N17" s="425"/>
      <c r="O17" s="425"/>
      <c r="P17" s="426" t="s">
        <v>303</v>
      </c>
      <c r="Q17" s="425"/>
      <c r="V17" s="33"/>
      <c r="W17" s="33"/>
      <c r="X17" s="33"/>
      <c r="Y17" s="33"/>
      <c r="Z17" s="33"/>
      <c r="AA17" s="33"/>
      <c r="AB17" s="33"/>
      <c r="AC17" s="33"/>
      <c r="AD17" s="33"/>
      <c r="AE17" s="33"/>
      <c r="AF17" s="33"/>
      <c r="AG17" s="33"/>
    </row>
    <row r="18" spans="2:33" ht="15.75" x14ac:dyDescent="0.2">
      <c r="B18" s="301" t="s">
        <v>111</v>
      </c>
      <c r="C18" s="298" t="s">
        <v>223</v>
      </c>
      <c r="D18" s="302">
        <v>300</v>
      </c>
      <c r="E18" s="298" t="s">
        <v>128</v>
      </c>
      <c r="F18" s="298" t="s">
        <v>113</v>
      </c>
      <c r="G18" s="303">
        <v>45546</v>
      </c>
      <c r="H18" s="304">
        <v>10</v>
      </c>
      <c r="I18" s="110"/>
      <c r="J18" s="110"/>
      <c r="K18" s="110"/>
      <c r="L18" s="110"/>
      <c r="N18" s="425"/>
      <c r="O18" s="425"/>
      <c r="P18" s="426" t="s">
        <v>310</v>
      </c>
      <c r="Q18" s="425"/>
      <c r="V18" s="33"/>
      <c r="W18" s="33"/>
      <c r="X18" s="33"/>
      <c r="Y18" s="33"/>
      <c r="Z18" s="33"/>
      <c r="AA18" s="33"/>
      <c r="AB18" s="33"/>
      <c r="AC18" s="33"/>
      <c r="AD18" s="33"/>
      <c r="AE18" s="33"/>
      <c r="AF18" s="33"/>
      <c r="AG18" s="33"/>
    </row>
    <row r="19" spans="2:33" ht="15.75" x14ac:dyDescent="0.2">
      <c r="B19" s="301" t="s">
        <v>111</v>
      </c>
      <c r="C19" s="298" t="s">
        <v>112</v>
      </c>
      <c r="D19" s="302">
        <v>300</v>
      </c>
      <c r="E19" s="298" t="s">
        <v>128</v>
      </c>
      <c r="F19" s="298" t="s">
        <v>113</v>
      </c>
      <c r="G19" s="303">
        <v>45546</v>
      </c>
      <c r="H19" s="304">
        <v>12</v>
      </c>
      <c r="I19" s="110"/>
      <c r="J19" s="110"/>
      <c r="K19" s="110"/>
      <c r="L19" s="110"/>
      <c r="N19" s="425"/>
      <c r="O19" s="425"/>
      <c r="P19" s="426" t="s">
        <v>320</v>
      </c>
      <c r="Q19" s="425"/>
      <c r="V19" s="33"/>
      <c r="W19" s="33"/>
      <c r="X19" s="33"/>
      <c r="Y19" s="33"/>
      <c r="Z19" s="33"/>
      <c r="AA19" s="33"/>
      <c r="AB19" s="33"/>
      <c r="AC19" s="33"/>
      <c r="AD19" s="33"/>
      <c r="AE19" s="33"/>
      <c r="AF19" s="33"/>
      <c r="AG19" s="33"/>
    </row>
    <row r="20" spans="2:33" ht="15.75" x14ac:dyDescent="0.2">
      <c r="B20" s="301" t="s">
        <v>225</v>
      </c>
      <c r="C20" s="298" t="s">
        <v>112</v>
      </c>
      <c r="D20" s="302">
        <v>150</v>
      </c>
      <c r="E20" s="298" t="s">
        <v>229</v>
      </c>
      <c r="F20" s="298" t="s">
        <v>231</v>
      </c>
      <c r="G20" s="303">
        <v>45545</v>
      </c>
      <c r="H20" s="304">
        <v>16</v>
      </c>
      <c r="I20" s="110"/>
      <c r="J20" s="110"/>
      <c r="K20" s="110"/>
      <c r="L20" s="110"/>
      <c r="N20" s="425"/>
      <c r="O20" s="425"/>
      <c r="P20" s="426" t="s">
        <v>285</v>
      </c>
      <c r="Q20" s="425"/>
      <c r="V20" s="33"/>
      <c r="W20" s="33"/>
      <c r="X20" s="33"/>
      <c r="Y20" s="33"/>
      <c r="Z20" s="33"/>
      <c r="AA20" s="33"/>
      <c r="AB20" s="33"/>
      <c r="AC20" s="33"/>
      <c r="AD20" s="33"/>
      <c r="AE20" s="33"/>
      <c r="AF20" s="33"/>
      <c r="AG20" s="33"/>
    </row>
    <row r="21" spans="2:33" ht="15.75" x14ac:dyDescent="0.2">
      <c r="B21" s="301" t="s">
        <v>133</v>
      </c>
      <c r="C21" s="298" t="s">
        <v>112</v>
      </c>
      <c r="D21" s="302">
        <v>70</v>
      </c>
      <c r="E21" s="298" t="s">
        <v>182</v>
      </c>
      <c r="F21" s="298" t="s">
        <v>231</v>
      </c>
      <c r="G21" s="303">
        <v>45587</v>
      </c>
      <c r="H21" s="304">
        <v>3</v>
      </c>
      <c r="I21" s="110"/>
      <c r="J21" s="110"/>
      <c r="K21" s="110"/>
      <c r="L21" s="110"/>
      <c r="N21" s="425"/>
      <c r="O21" s="425"/>
      <c r="P21" s="426" t="s">
        <v>260</v>
      </c>
      <c r="Q21" s="425"/>
      <c r="V21" s="33"/>
      <c r="W21" s="33"/>
      <c r="X21" s="33"/>
      <c r="Y21" s="33"/>
      <c r="Z21" s="33"/>
      <c r="AA21" s="33"/>
      <c r="AB21" s="33"/>
      <c r="AC21" s="33"/>
      <c r="AD21" s="33"/>
      <c r="AE21" s="33"/>
      <c r="AF21" s="33"/>
      <c r="AG21" s="33"/>
    </row>
    <row r="22" spans="2:33" ht="15.75" x14ac:dyDescent="0.2">
      <c r="B22" s="301" t="s">
        <v>111</v>
      </c>
      <c r="C22" s="298" t="s">
        <v>112</v>
      </c>
      <c r="D22" s="302">
        <v>250</v>
      </c>
      <c r="E22" s="298" t="s">
        <v>220</v>
      </c>
      <c r="F22" s="298" t="s">
        <v>231</v>
      </c>
      <c r="G22" s="303">
        <v>45587</v>
      </c>
      <c r="H22" s="304">
        <v>10.5</v>
      </c>
      <c r="I22" s="110"/>
      <c r="J22" s="110"/>
      <c r="K22" s="110"/>
      <c r="L22" s="110"/>
      <c r="N22" s="425"/>
      <c r="O22" s="425"/>
      <c r="P22" s="426" t="s">
        <v>305</v>
      </c>
      <c r="Q22" s="425"/>
      <c r="V22" s="33"/>
      <c r="W22" s="33"/>
      <c r="X22" s="33"/>
      <c r="Y22" s="33"/>
      <c r="Z22" s="33"/>
      <c r="AA22" s="33"/>
      <c r="AB22" s="33"/>
      <c r="AC22" s="33"/>
      <c r="AD22" s="33"/>
      <c r="AE22" s="33"/>
      <c r="AF22" s="33"/>
      <c r="AG22" s="33"/>
    </row>
    <row r="23" spans="2:33" ht="15.75" x14ac:dyDescent="0.2">
      <c r="B23" s="301" t="s">
        <v>111</v>
      </c>
      <c r="C23" s="298" t="s">
        <v>223</v>
      </c>
      <c r="D23" s="302">
        <v>200</v>
      </c>
      <c r="E23" s="298" t="s">
        <v>220</v>
      </c>
      <c r="F23" s="298" t="s">
        <v>231</v>
      </c>
      <c r="G23" s="303">
        <v>45587</v>
      </c>
      <c r="H23" s="304">
        <v>7.5</v>
      </c>
      <c r="I23" s="110"/>
      <c r="J23" s="110"/>
      <c r="K23" s="110"/>
      <c r="L23" s="110"/>
      <c r="N23" s="425"/>
      <c r="O23" s="425"/>
      <c r="P23" s="426" t="s">
        <v>273</v>
      </c>
      <c r="Q23" s="425"/>
      <c r="V23" s="33"/>
      <c r="W23" s="33"/>
      <c r="X23" s="33"/>
      <c r="Y23" s="33"/>
      <c r="Z23" s="33"/>
      <c r="AA23" s="33"/>
      <c r="AB23" s="33"/>
      <c r="AC23" s="33"/>
      <c r="AD23" s="33"/>
      <c r="AE23" s="33"/>
      <c r="AF23" s="33"/>
      <c r="AG23" s="33"/>
    </row>
    <row r="24" spans="2:33" ht="15.75" x14ac:dyDescent="0.2">
      <c r="B24" s="301" t="s">
        <v>133</v>
      </c>
      <c r="C24" s="298" t="s">
        <v>223</v>
      </c>
      <c r="D24" s="302">
        <v>80</v>
      </c>
      <c r="E24" s="298" t="s">
        <v>182</v>
      </c>
      <c r="F24" s="298" t="s">
        <v>231</v>
      </c>
      <c r="G24" s="303">
        <v>45587</v>
      </c>
      <c r="H24" s="304">
        <v>2.4500000000000002</v>
      </c>
      <c r="I24" s="110"/>
      <c r="J24" s="110"/>
      <c r="K24" s="110"/>
      <c r="L24" s="110"/>
      <c r="N24" s="425"/>
      <c r="O24" s="425"/>
      <c r="P24" s="426" t="s">
        <v>261</v>
      </c>
      <c r="Q24" s="425"/>
      <c r="V24" s="33"/>
      <c r="W24" s="33"/>
      <c r="X24" s="33"/>
      <c r="Y24" s="33"/>
      <c r="Z24" s="33"/>
      <c r="AA24" s="33"/>
      <c r="AB24" s="33"/>
      <c r="AC24" s="33"/>
      <c r="AD24" s="33"/>
      <c r="AE24" s="33"/>
      <c r="AF24" s="33"/>
      <c r="AG24" s="33"/>
    </row>
    <row r="25" spans="2:33" ht="15.75" x14ac:dyDescent="0.2">
      <c r="B25" s="301" t="s">
        <v>133</v>
      </c>
      <c r="C25" s="298" t="s">
        <v>112</v>
      </c>
      <c r="D25" s="302">
        <v>100</v>
      </c>
      <c r="E25" s="298" t="s">
        <v>182</v>
      </c>
      <c r="F25" s="298" t="s">
        <v>231</v>
      </c>
      <c r="G25" s="303">
        <v>45587</v>
      </c>
      <c r="H25" s="304">
        <v>5</v>
      </c>
      <c r="I25" s="110"/>
      <c r="J25" s="110"/>
      <c r="K25" s="110"/>
      <c r="L25" s="110"/>
      <c r="N25" s="425"/>
      <c r="O25" s="425"/>
      <c r="P25" s="426" t="s">
        <v>321</v>
      </c>
      <c r="Q25" s="425"/>
      <c r="V25" s="33"/>
      <c r="W25" s="33"/>
      <c r="X25" s="33"/>
      <c r="Y25" s="33"/>
      <c r="Z25" s="33"/>
      <c r="AA25" s="33"/>
      <c r="AB25" s="33"/>
      <c r="AC25" s="33"/>
      <c r="AD25" s="33"/>
      <c r="AE25" s="33"/>
      <c r="AF25" s="33"/>
      <c r="AG25" s="33"/>
    </row>
    <row r="26" spans="2:33" ht="15.75" x14ac:dyDescent="0.2">
      <c r="B26" s="301" t="s">
        <v>111</v>
      </c>
      <c r="C26" s="298" t="s">
        <v>112</v>
      </c>
      <c r="D26" s="302">
        <v>300</v>
      </c>
      <c r="E26" s="298" t="s">
        <v>220</v>
      </c>
      <c r="F26" s="298" t="s">
        <v>231</v>
      </c>
      <c r="G26" s="303">
        <v>45587</v>
      </c>
      <c r="H26" s="304">
        <v>12.5</v>
      </c>
      <c r="I26" s="110"/>
      <c r="J26" s="110"/>
      <c r="K26" s="110"/>
      <c r="L26" s="110"/>
      <c r="V26" s="33"/>
      <c r="W26" s="33"/>
      <c r="X26" s="33"/>
      <c r="Y26" s="33"/>
      <c r="Z26" s="33"/>
      <c r="AA26" s="33"/>
      <c r="AB26" s="33"/>
      <c r="AC26" s="33"/>
      <c r="AD26" s="33"/>
      <c r="AE26" s="33"/>
      <c r="AF26" s="33"/>
      <c r="AG26" s="33"/>
    </row>
    <row r="27" spans="2:33" ht="15.75" x14ac:dyDescent="0.2">
      <c r="B27" s="301" t="s">
        <v>111</v>
      </c>
      <c r="C27" s="298" t="s">
        <v>223</v>
      </c>
      <c r="D27" s="302">
        <v>300</v>
      </c>
      <c r="E27" s="298" t="s">
        <v>220</v>
      </c>
      <c r="F27" s="298" t="s">
        <v>231</v>
      </c>
      <c r="G27" s="303">
        <v>45587</v>
      </c>
      <c r="H27" s="304">
        <v>10.5</v>
      </c>
      <c r="I27" s="110"/>
      <c r="J27" s="110"/>
      <c r="K27" s="110"/>
      <c r="L27" s="110"/>
      <c r="V27" s="33"/>
      <c r="W27" s="33"/>
      <c r="X27" s="33"/>
      <c r="Y27" s="33"/>
      <c r="Z27" s="33"/>
      <c r="AA27" s="33"/>
      <c r="AB27" s="33"/>
      <c r="AC27" s="33"/>
      <c r="AD27" s="33"/>
      <c r="AE27" s="33"/>
      <c r="AF27" s="33"/>
      <c r="AG27" s="33"/>
    </row>
    <row r="28" spans="2:33" ht="15.75" x14ac:dyDescent="0.2">
      <c r="B28" s="301" t="s">
        <v>111</v>
      </c>
      <c r="C28" s="298" t="s">
        <v>112</v>
      </c>
      <c r="D28" s="302">
        <v>150</v>
      </c>
      <c r="E28" s="298" t="s">
        <v>220</v>
      </c>
      <c r="F28" s="298" t="s">
        <v>231</v>
      </c>
      <c r="G28" s="303">
        <v>45587</v>
      </c>
      <c r="H28" s="304">
        <v>6.5</v>
      </c>
      <c r="I28" s="110"/>
      <c r="J28" s="110"/>
      <c r="K28" s="110"/>
      <c r="L28" s="110"/>
      <c r="V28" s="33"/>
      <c r="W28" s="33"/>
      <c r="X28" s="33"/>
      <c r="Y28" s="33"/>
      <c r="Z28" s="33"/>
      <c r="AA28" s="33"/>
      <c r="AB28" s="33"/>
      <c r="AC28" s="33"/>
      <c r="AD28" s="33"/>
      <c r="AE28" s="33"/>
      <c r="AF28" s="33"/>
      <c r="AG28" s="33"/>
    </row>
    <row r="29" spans="2:33" ht="15.75" x14ac:dyDescent="0.2">
      <c r="B29" s="301" t="s">
        <v>111</v>
      </c>
      <c r="C29" s="298" t="s">
        <v>112</v>
      </c>
      <c r="D29" s="302">
        <v>200</v>
      </c>
      <c r="E29" s="298" t="s">
        <v>220</v>
      </c>
      <c r="F29" s="298" t="s">
        <v>231</v>
      </c>
      <c r="G29" s="303">
        <v>45587</v>
      </c>
      <c r="H29" s="304">
        <v>8.5</v>
      </c>
      <c r="I29" s="110"/>
      <c r="J29" s="110"/>
      <c r="K29" s="110"/>
      <c r="L29" s="110"/>
      <c r="V29" s="33"/>
      <c r="W29" s="33"/>
      <c r="X29" s="33"/>
      <c r="Y29" s="33"/>
      <c r="Z29" s="33"/>
      <c r="AA29" s="33"/>
      <c r="AB29" s="33"/>
      <c r="AC29" s="33"/>
      <c r="AD29" s="33"/>
      <c r="AE29" s="33"/>
      <c r="AF29" s="33"/>
      <c r="AG29" s="33"/>
    </row>
    <row r="30" spans="2:33" ht="15.75" x14ac:dyDescent="0.2">
      <c r="B30" s="301" t="s">
        <v>133</v>
      </c>
      <c r="C30" s="298" t="s">
        <v>112</v>
      </c>
      <c r="D30" s="302">
        <v>80</v>
      </c>
      <c r="E30" s="298" t="s">
        <v>182</v>
      </c>
      <c r="F30" s="298" t="s">
        <v>231</v>
      </c>
      <c r="G30" s="303">
        <v>45587</v>
      </c>
      <c r="H30" s="304">
        <v>3.4</v>
      </c>
      <c r="I30" s="110"/>
      <c r="J30" s="110"/>
      <c r="K30" s="110"/>
      <c r="L30" s="110"/>
      <c r="V30" s="33"/>
      <c r="W30" s="33"/>
      <c r="X30" s="33"/>
      <c r="Y30" s="33"/>
      <c r="Z30" s="33"/>
      <c r="AA30" s="33"/>
      <c r="AB30" s="33"/>
      <c r="AC30" s="33"/>
      <c r="AD30" s="33"/>
      <c r="AE30" s="33"/>
      <c r="AF30" s="33"/>
      <c r="AG30" s="33"/>
    </row>
    <row r="31" spans="2:33" ht="15.75" x14ac:dyDescent="0.2">
      <c r="B31" s="301" t="s">
        <v>133</v>
      </c>
      <c r="C31" s="298" t="s">
        <v>112</v>
      </c>
      <c r="D31" s="302">
        <v>80</v>
      </c>
      <c r="E31" s="298" t="s">
        <v>182</v>
      </c>
      <c r="F31" s="298" t="s">
        <v>113</v>
      </c>
      <c r="G31" s="303">
        <v>45470</v>
      </c>
      <c r="H31" s="304">
        <v>3.25</v>
      </c>
      <c r="I31" s="110">
        <v>0</v>
      </c>
      <c r="J31" s="110"/>
      <c r="K31" s="110"/>
      <c r="L31" s="110"/>
      <c r="V31" s="33"/>
      <c r="W31" s="33"/>
      <c r="X31" s="33"/>
      <c r="Y31" s="33"/>
      <c r="Z31" s="33"/>
      <c r="AA31" s="33"/>
      <c r="AB31" s="33"/>
      <c r="AC31" s="33"/>
      <c r="AD31" s="33"/>
      <c r="AE31" s="33"/>
      <c r="AF31" s="33"/>
      <c r="AG31" s="33"/>
    </row>
    <row r="32" spans="2:33" ht="15.75" x14ac:dyDescent="0.2">
      <c r="B32" s="301" t="s">
        <v>133</v>
      </c>
      <c r="C32" s="298" t="s">
        <v>112</v>
      </c>
      <c r="D32" s="302">
        <v>80</v>
      </c>
      <c r="E32" s="298" t="s">
        <v>283</v>
      </c>
      <c r="F32" s="298" t="s">
        <v>113</v>
      </c>
      <c r="G32" s="303">
        <v>45470</v>
      </c>
      <c r="H32" s="304">
        <v>0</v>
      </c>
      <c r="I32" s="110"/>
      <c r="J32" s="110"/>
      <c r="K32" s="110"/>
      <c r="L32" s="110"/>
      <c r="V32" s="33"/>
      <c r="W32" s="33"/>
      <c r="X32" s="33"/>
      <c r="Y32" s="33"/>
      <c r="Z32" s="33"/>
      <c r="AA32" s="33"/>
      <c r="AB32" s="33"/>
      <c r="AC32" s="33"/>
      <c r="AD32" s="33"/>
      <c r="AE32" s="33"/>
      <c r="AF32" s="33"/>
      <c r="AG32" s="33"/>
    </row>
    <row r="33" spans="2:33" ht="15.75" x14ac:dyDescent="0.2">
      <c r="B33" s="301" t="s">
        <v>133</v>
      </c>
      <c r="C33" s="298" t="s">
        <v>223</v>
      </c>
      <c r="D33" s="302">
        <v>80</v>
      </c>
      <c r="E33" s="298" t="s">
        <v>182</v>
      </c>
      <c r="F33" s="298" t="s">
        <v>113</v>
      </c>
      <c r="G33" s="303">
        <v>45470</v>
      </c>
      <c r="H33" s="304">
        <v>2.25</v>
      </c>
      <c r="I33" s="110"/>
      <c r="J33" s="110"/>
      <c r="K33" s="110"/>
      <c r="L33" s="110"/>
      <c r="V33" s="33"/>
      <c r="W33" s="33"/>
      <c r="X33" s="33"/>
      <c r="Y33" s="33"/>
      <c r="Z33" s="33"/>
      <c r="AA33" s="33"/>
      <c r="AB33" s="33"/>
      <c r="AC33" s="33"/>
      <c r="AD33" s="33"/>
      <c r="AE33" s="33"/>
      <c r="AF33" s="33"/>
      <c r="AG33" s="33"/>
    </row>
    <row r="34" spans="2:33" ht="15.75" x14ac:dyDescent="0.2">
      <c r="B34" s="301" t="s">
        <v>306</v>
      </c>
      <c r="C34" s="298" t="s">
        <v>112</v>
      </c>
      <c r="D34" s="302">
        <v>100</v>
      </c>
      <c r="E34" s="298" t="s">
        <v>220</v>
      </c>
      <c r="F34" s="298" t="s">
        <v>231</v>
      </c>
      <c r="G34" s="303">
        <v>45358</v>
      </c>
      <c r="H34" s="304">
        <v>12</v>
      </c>
      <c r="I34" s="110"/>
      <c r="J34" s="110"/>
      <c r="K34" s="110"/>
      <c r="L34" s="110"/>
      <c r="V34" s="33"/>
      <c r="W34" s="33"/>
      <c r="X34" s="33"/>
      <c r="Y34" s="33"/>
      <c r="Z34" s="33"/>
      <c r="AA34" s="33"/>
      <c r="AB34" s="33"/>
      <c r="AC34" s="33"/>
      <c r="AD34" s="33"/>
      <c r="AE34" s="33"/>
      <c r="AF34" s="33"/>
      <c r="AG34" s="33"/>
    </row>
    <row r="35" spans="2:33" ht="15.75" x14ac:dyDescent="0.2">
      <c r="B35" s="301" t="s">
        <v>111</v>
      </c>
      <c r="C35" s="298" t="s">
        <v>223</v>
      </c>
      <c r="D35" s="302">
        <v>150</v>
      </c>
      <c r="E35" s="298" t="s">
        <v>308</v>
      </c>
      <c r="F35" s="298" t="s">
        <v>307</v>
      </c>
      <c r="G35" s="303">
        <v>45934</v>
      </c>
      <c r="H35" s="304">
        <v>4.22</v>
      </c>
      <c r="I35" s="110"/>
      <c r="J35" s="110"/>
      <c r="K35" s="110"/>
      <c r="L35" s="110"/>
      <c r="V35" s="33"/>
      <c r="W35" s="33"/>
      <c r="X35" s="33"/>
      <c r="Y35" s="33"/>
      <c r="Z35" s="33"/>
      <c r="AA35" s="33"/>
      <c r="AB35" s="33"/>
      <c r="AC35" s="33"/>
      <c r="AD35" s="33"/>
      <c r="AE35" s="33"/>
      <c r="AF35" s="33"/>
      <c r="AG35" s="33"/>
    </row>
    <row r="36" spans="2:33" ht="15.75" x14ac:dyDescent="0.2">
      <c r="B36" s="301" t="s">
        <v>111</v>
      </c>
      <c r="C36" s="298" t="s">
        <v>223</v>
      </c>
      <c r="D36" s="302">
        <v>250</v>
      </c>
      <c r="E36" s="298" t="s">
        <v>128</v>
      </c>
      <c r="F36" s="298" t="s">
        <v>307</v>
      </c>
      <c r="G36" s="303">
        <v>45934</v>
      </c>
      <c r="H36" s="304">
        <v>7.03</v>
      </c>
      <c r="I36" s="110"/>
      <c r="J36" s="110"/>
      <c r="K36" s="110"/>
      <c r="L36" s="110"/>
      <c r="V36" s="33"/>
      <c r="W36" s="33"/>
      <c r="X36" s="33"/>
      <c r="Y36" s="33"/>
      <c r="Z36" s="33"/>
      <c r="AA36" s="33"/>
      <c r="AB36" s="33"/>
      <c r="AC36" s="33"/>
      <c r="AD36" s="33"/>
      <c r="AE36" s="33"/>
      <c r="AF36" s="33"/>
      <c r="AG36" s="33"/>
    </row>
    <row r="37" spans="2:33" ht="15.75" x14ac:dyDescent="0.2">
      <c r="B37" s="301" t="s">
        <v>133</v>
      </c>
      <c r="C37" s="298" t="s">
        <v>223</v>
      </c>
      <c r="D37" s="302">
        <v>70</v>
      </c>
      <c r="E37" s="298" t="s">
        <v>182</v>
      </c>
      <c r="F37" s="298" t="s">
        <v>307</v>
      </c>
      <c r="G37" s="303">
        <v>45934</v>
      </c>
      <c r="H37" s="304">
        <v>1.75</v>
      </c>
      <c r="I37" s="110"/>
      <c r="J37" s="110"/>
      <c r="K37" s="110"/>
      <c r="L37" s="110"/>
    </row>
    <row r="38" spans="2:33" ht="15.75" x14ac:dyDescent="0.2">
      <c r="B38" s="301" t="s">
        <v>224</v>
      </c>
      <c r="C38" s="298" t="s">
        <v>223</v>
      </c>
      <c r="D38" s="302">
        <v>300</v>
      </c>
      <c r="E38" s="298" t="s">
        <v>224</v>
      </c>
      <c r="F38" s="298" t="s">
        <v>307</v>
      </c>
      <c r="G38" s="303">
        <v>45934</v>
      </c>
      <c r="H38" s="304">
        <v>8.43</v>
      </c>
      <c r="I38" s="110"/>
      <c r="J38" s="110"/>
      <c r="K38" s="110"/>
      <c r="L38" s="110"/>
    </row>
    <row r="39" spans="2:33" ht="15.75" x14ac:dyDescent="0.2">
      <c r="B39" s="301" t="s">
        <v>228</v>
      </c>
      <c r="C39" s="298" t="s">
        <v>112</v>
      </c>
      <c r="D39" s="302">
        <v>300</v>
      </c>
      <c r="E39" s="298" t="s">
        <v>220</v>
      </c>
      <c r="F39" s="298" t="s">
        <v>222</v>
      </c>
      <c r="G39" s="303">
        <v>45258</v>
      </c>
      <c r="H39" s="304">
        <v>11</v>
      </c>
      <c r="I39" s="110"/>
      <c r="J39" s="110"/>
      <c r="K39" s="110"/>
      <c r="L39" s="110"/>
    </row>
    <row r="40" spans="2:33" x14ac:dyDescent="0.2">
      <c r="B40" s="298" t="s">
        <v>224</v>
      </c>
      <c r="C40" s="298" t="s">
        <v>112</v>
      </c>
      <c r="D40" s="298">
        <v>300</v>
      </c>
      <c r="E40" s="298" t="s">
        <v>224</v>
      </c>
      <c r="F40" s="298" t="s">
        <v>231</v>
      </c>
      <c r="G40" s="298">
        <v>45211</v>
      </c>
      <c r="H40" s="298">
        <v>11</v>
      </c>
    </row>
    <row r="41" spans="2:33" x14ac:dyDescent="0.2">
      <c r="B41" s="298" t="s">
        <v>225</v>
      </c>
      <c r="C41" s="298" t="s">
        <v>112</v>
      </c>
      <c r="D41" s="298">
        <v>150</v>
      </c>
      <c r="E41" s="298" t="s">
        <v>128</v>
      </c>
      <c r="F41" s="298" t="s">
        <v>113</v>
      </c>
      <c r="G41" s="298">
        <v>45208</v>
      </c>
      <c r="H41" s="298">
        <v>13</v>
      </c>
    </row>
    <row r="42" spans="2:33" x14ac:dyDescent="0.2">
      <c r="B42" s="298" t="s">
        <v>111</v>
      </c>
      <c r="C42" s="298" t="s">
        <v>112</v>
      </c>
      <c r="D42" s="298">
        <v>250</v>
      </c>
      <c r="E42" s="298" t="s">
        <v>128</v>
      </c>
      <c r="F42" s="298" t="s">
        <v>113</v>
      </c>
      <c r="G42" s="298">
        <v>46131</v>
      </c>
      <c r="H42" s="298">
        <v>10</v>
      </c>
      <c r="I42" s="298">
        <v>0</v>
      </c>
    </row>
    <row r="43" spans="2:33" x14ac:dyDescent="0.2">
      <c r="B43" s="298" t="s">
        <v>133</v>
      </c>
      <c r="C43" s="298" t="s">
        <v>112</v>
      </c>
      <c r="D43" s="298">
        <v>100</v>
      </c>
      <c r="E43" s="298" t="s">
        <v>182</v>
      </c>
      <c r="F43" s="298" t="s">
        <v>113</v>
      </c>
      <c r="G43" s="298">
        <v>45945</v>
      </c>
      <c r="H43" s="298">
        <v>6.5</v>
      </c>
      <c r="I43" s="298">
        <v>0</v>
      </c>
    </row>
    <row r="44" spans="2:33" x14ac:dyDescent="0.2">
      <c r="B44" s="298" t="s">
        <v>111</v>
      </c>
      <c r="C44" s="298" t="s">
        <v>112</v>
      </c>
      <c r="D44" s="298">
        <v>300</v>
      </c>
      <c r="E44" s="298" t="s">
        <v>220</v>
      </c>
      <c r="F44" s="298" t="s">
        <v>113</v>
      </c>
      <c r="G44" s="298">
        <v>45075</v>
      </c>
      <c r="H44" s="298">
        <v>11.4</v>
      </c>
      <c r="I44" s="298">
        <v>0</v>
      </c>
    </row>
    <row r="45" spans="2:33" x14ac:dyDescent="0.2">
      <c r="B45" s="298" t="s">
        <v>111</v>
      </c>
      <c r="C45" s="298" t="s">
        <v>112</v>
      </c>
      <c r="D45" s="298">
        <v>250</v>
      </c>
      <c r="E45" s="298" t="s">
        <v>114</v>
      </c>
      <c r="F45" s="298" t="s">
        <v>193</v>
      </c>
      <c r="G45" s="298">
        <v>45057</v>
      </c>
      <c r="H45" s="298">
        <v>12</v>
      </c>
    </row>
    <row r="46" spans="2:33" x14ac:dyDescent="0.2">
      <c r="B46" s="298" t="s">
        <v>228</v>
      </c>
      <c r="C46" s="298" t="s">
        <v>112</v>
      </c>
      <c r="D46" s="298">
        <v>300</v>
      </c>
      <c r="E46" s="298" t="s">
        <v>220</v>
      </c>
      <c r="F46" s="298" t="s">
        <v>231</v>
      </c>
      <c r="G46" s="298">
        <v>44978</v>
      </c>
      <c r="H46" s="298">
        <v>15</v>
      </c>
    </row>
    <row r="47" spans="2:33" x14ac:dyDescent="0.2">
      <c r="B47" s="298" t="s">
        <v>111</v>
      </c>
      <c r="C47" s="298" t="s">
        <v>112</v>
      </c>
      <c r="D47" s="298">
        <v>130</v>
      </c>
      <c r="E47" s="298" t="s">
        <v>226</v>
      </c>
      <c r="F47" s="298" t="s">
        <v>222</v>
      </c>
      <c r="G47" s="298">
        <v>45587</v>
      </c>
      <c r="H47" s="298">
        <v>5.5</v>
      </c>
    </row>
    <row r="48" spans="2:33" x14ac:dyDescent="0.2">
      <c r="B48" s="298" t="s">
        <v>111</v>
      </c>
      <c r="C48" s="298" t="s">
        <v>112</v>
      </c>
      <c r="D48" s="298">
        <v>150</v>
      </c>
      <c r="E48" s="298" t="s">
        <v>226</v>
      </c>
      <c r="F48" s="298" t="s">
        <v>222</v>
      </c>
      <c r="G48" s="298">
        <v>45587</v>
      </c>
      <c r="H48" s="298">
        <v>6.5</v>
      </c>
      <c r="I48" s="298">
        <v>0</v>
      </c>
    </row>
    <row r="49" spans="2:9" x14ac:dyDescent="0.2">
      <c r="B49" s="298" t="s">
        <v>111</v>
      </c>
      <c r="C49" s="298" t="s">
        <v>112</v>
      </c>
      <c r="D49" s="298">
        <v>350</v>
      </c>
      <c r="E49" s="298" t="s">
        <v>226</v>
      </c>
      <c r="F49" s="298" t="s">
        <v>222</v>
      </c>
      <c r="G49" s="298">
        <v>45587</v>
      </c>
      <c r="H49" s="298">
        <v>14.5</v>
      </c>
    </row>
    <row r="50" spans="2:9" x14ac:dyDescent="0.2">
      <c r="B50" s="298" t="s">
        <v>224</v>
      </c>
      <c r="C50" s="298" t="s">
        <v>112</v>
      </c>
      <c r="D50" s="298">
        <v>350</v>
      </c>
      <c r="E50" s="298" t="s">
        <v>224</v>
      </c>
      <c r="F50" s="298" t="s">
        <v>222</v>
      </c>
      <c r="G50" s="298">
        <v>44951</v>
      </c>
      <c r="H50" s="298">
        <v>12</v>
      </c>
      <c r="I50" s="298">
        <v>0</v>
      </c>
    </row>
    <row r="51" spans="2:9" x14ac:dyDescent="0.2">
      <c r="B51" s="298" t="s">
        <v>133</v>
      </c>
      <c r="C51" s="298" t="s">
        <v>112</v>
      </c>
      <c r="D51" s="298">
        <v>60</v>
      </c>
      <c r="E51" s="298" t="s">
        <v>182</v>
      </c>
      <c r="F51" s="298" t="s">
        <v>222</v>
      </c>
      <c r="G51" s="298">
        <v>44951</v>
      </c>
      <c r="H51" s="298">
        <v>2.8</v>
      </c>
    </row>
    <row r="52" spans="2:9" x14ac:dyDescent="0.2">
      <c r="B52" s="298" t="s">
        <v>133</v>
      </c>
      <c r="C52" s="298" t="s">
        <v>112</v>
      </c>
      <c r="D52" s="298">
        <v>70</v>
      </c>
      <c r="E52" s="298" t="s">
        <v>182</v>
      </c>
      <c r="F52" s="298" t="s">
        <v>222</v>
      </c>
      <c r="G52" s="298">
        <v>45587</v>
      </c>
      <c r="H52" s="298">
        <v>3.5</v>
      </c>
    </row>
    <row r="53" spans="2:9" x14ac:dyDescent="0.2">
      <c r="B53" s="298" t="s">
        <v>133</v>
      </c>
      <c r="C53" s="298" t="s">
        <v>112</v>
      </c>
      <c r="D53" s="298">
        <v>80</v>
      </c>
      <c r="E53" s="298" t="s">
        <v>182</v>
      </c>
      <c r="F53" s="298" t="s">
        <v>222</v>
      </c>
      <c r="G53" s="298">
        <v>45587</v>
      </c>
      <c r="H53" s="298">
        <v>3.6</v>
      </c>
    </row>
    <row r="54" spans="2:9" x14ac:dyDescent="0.2">
      <c r="B54" s="298" t="s">
        <v>111</v>
      </c>
      <c r="C54" s="298" t="s">
        <v>112</v>
      </c>
      <c r="D54" s="298">
        <v>150</v>
      </c>
      <c r="E54" s="298" t="s">
        <v>284</v>
      </c>
      <c r="F54" s="298" t="s">
        <v>113</v>
      </c>
      <c r="G54" s="298">
        <v>46131</v>
      </c>
      <c r="H54" s="298">
        <v>6</v>
      </c>
    </row>
    <row r="55" spans="2:9" x14ac:dyDescent="0.2">
      <c r="B55" s="298" t="s">
        <v>316</v>
      </c>
      <c r="C55" s="298" t="s">
        <v>112</v>
      </c>
      <c r="D55" s="298">
        <v>220</v>
      </c>
      <c r="E55" s="298" t="s">
        <v>220</v>
      </c>
      <c r="F55" s="298" t="s">
        <v>222</v>
      </c>
      <c r="G55" s="298">
        <v>45545</v>
      </c>
      <c r="H55" s="298">
        <v>6.5</v>
      </c>
    </row>
    <row r="56" spans="2:9" x14ac:dyDescent="0.2">
      <c r="B56" s="298" t="s">
        <v>111</v>
      </c>
      <c r="C56" s="298" t="s">
        <v>112</v>
      </c>
      <c r="D56" s="298">
        <v>130</v>
      </c>
      <c r="E56" s="298" t="s">
        <v>284</v>
      </c>
      <c r="F56" s="298" t="s">
        <v>113</v>
      </c>
      <c r="G56" s="298" t="s">
        <v>324</v>
      </c>
      <c r="H56" s="298">
        <v>5.25</v>
      </c>
    </row>
    <row r="57" spans="2:9" x14ac:dyDescent="0.2">
      <c r="B57" s="298" t="s">
        <v>111</v>
      </c>
      <c r="C57" s="298" t="s">
        <v>223</v>
      </c>
      <c r="D57" s="298">
        <v>130</v>
      </c>
      <c r="E57" s="298" t="s">
        <v>284</v>
      </c>
      <c r="F57" s="298" t="s">
        <v>113</v>
      </c>
      <c r="G57" s="298" t="s">
        <v>324</v>
      </c>
      <c r="H57" s="298">
        <v>4.3499999999999996</v>
      </c>
    </row>
    <row r="58" spans="2:9" x14ac:dyDescent="0.2">
      <c r="B58" s="298" t="s">
        <v>318</v>
      </c>
      <c r="C58" s="298" t="s">
        <v>112</v>
      </c>
      <c r="D58" s="298">
        <v>20</v>
      </c>
      <c r="E58" s="298" t="s">
        <v>220</v>
      </c>
      <c r="F58" s="298" t="s">
        <v>231</v>
      </c>
      <c r="G58" s="298" t="s">
        <v>324</v>
      </c>
      <c r="H58" s="298">
        <v>33</v>
      </c>
    </row>
    <row r="59" spans="2:9" x14ac:dyDescent="0.2">
      <c r="B59" s="298" t="s">
        <v>111</v>
      </c>
      <c r="C59" s="298" t="s">
        <v>223</v>
      </c>
      <c r="E59" s="298" t="s">
        <v>220</v>
      </c>
      <c r="F59" s="298" t="s">
        <v>307</v>
      </c>
      <c r="G59" s="298">
        <v>45301</v>
      </c>
    </row>
    <row r="60" spans="2:9" x14ac:dyDescent="0.2">
      <c r="B60" s="298" t="s">
        <v>111</v>
      </c>
      <c r="C60" s="298" t="s">
        <v>112</v>
      </c>
      <c r="D60" s="298">
        <v>150</v>
      </c>
      <c r="E60" s="298" t="s">
        <v>308</v>
      </c>
      <c r="F60" s="298" t="s">
        <v>307</v>
      </c>
      <c r="G60" s="298">
        <v>45945</v>
      </c>
      <c r="H60" s="298">
        <v>5</v>
      </c>
    </row>
    <row r="61" spans="2:9" x14ac:dyDescent="0.2">
      <c r="B61" s="298" t="s">
        <v>111</v>
      </c>
      <c r="C61" s="298" t="s">
        <v>223</v>
      </c>
      <c r="D61" s="298">
        <v>150</v>
      </c>
      <c r="E61" s="298" t="s">
        <v>308</v>
      </c>
      <c r="F61" s="298" t="s">
        <v>171</v>
      </c>
      <c r="G61" s="298" t="s">
        <v>325</v>
      </c>
      <c r="H61" s="298">
        <v>4.7</v>
      </c>
    </row>
    <row r="62" spans="2:9" x14ac:dyDescent="0.2">
      <c r="B62" s="298" t="s">
        <v>111</v>
      </c>
      <c r="C62" s="298" t="s">
        <v>223</v>
      </c>
      <c r="D62" s="298">
        <v>250</v>
      </c>
      <c r="E62" s="298" t="s">
        <v>114</v>
      </c>
      <c r="F62" s="298" t="s">
        <v>171</v>
      </c>
      <c r="G62" s="298" t="s">
        <v>325</v>
      </c>
      <c r="H62" s="298">
        <v>7.8</v>
      </c>
    </row>
    <row r="63" spans="2:9" x14ac:dyDescent="0.2">
      <c r="B63" s="298" t="s">
        <v>111</v>
      </c>
      <c r="C63" s="298" t="s">
        <v>223</v>
      </c>
      <c r="D63" s="298">
        <v>150</v>
      </c>
      <c r="E63" s="298" t="s">
        <v>226</v>
      </c>
      <c r="F63" s="298" t="s">
        <v>222</v>
      </c>
      <c r="G63" s="298" t="s">
        <v>326</v>
      </c>
      <c r="H63" s="298">
        <v>5.5</v>
      </c>
    </row>
    <row r="64" spans="2:9" x14ac:dyDescent="0.2">
      <c r="B64" s="298" t="s">
        <v>111</v>
      </c>
      <c r="C64" s="298" t="s">
        <v>112</v>
      </c>
      <c r="D64" s="298">
        <v>300</v>
      </c>
      <c r="E64" s="298" t="s">
        <v>226</v>
      </c>
      <c r="F64" s="298" t="s">
        <v>222</v>
      </c>
      <c r="G64" s="298" t="s">
        <v>326</v>
      </c>
      <c r="H64" s="298">
        <v>12.5</v>
      </c>
    </row>
    <row r="65" spans="2:8" x14ac:dyDescent="0.2">
      <c r="B65" s="298" t="s">
        <v>111</v>
      </c>
      <c r="C65" s="298" t="s">
        <v>313</v>
      </c>
      <c r="D65" s="298">
        <v>300</v>
      </c>
      <c r="E65" s="298" t="s">
        <v>226</v>
      </c>
      <c r="F65" s="298" t="s">
        <v>222</v>
      </c>
      <c r="G65" s="298" t="s">
        <v>326</v>
      </c>
      <c r="H65" s="298">
        <v>10.5</v>
      </c>
    </row>
    <row r="66" spans="2:8" x14ac:dyDescent="0.2">
      <c r="B66" s="298" t="s">
        <v>111</v>
      </c>
      <c r="C66" s="298" t="s">
        <v>112</v>
      </c>
      <c r="D66" s="298">
        <v>200</v>
      </c>
      <c r="E66" s="298" t="s">
        <v>226</v>
      </c>
      <c r="F66" s="298" t="s">
        <v>222</v>
      </c>
      <c r="G66" s="298" t="s">
        <v>326</v>
      </c>
      <c r="H66" s="298">
        <v>8.5</v>
      </c>
    </row>
    <row r="67" spans="2:8" x14ac:dyDescent="0.2">
      <c r="B67" s="298" t="s">
        <v>111</v>
      </c>
      <c r="C67" s="298" t="s">
        <v>223</v>
      </c>
      <c r="D67" s="298">
        <v>200</v>
      </c>
      <c r="E67" s="298" t="s">
        <v>226</v>
      </c>
      <c r="F67" s="298" t="s">
        <v>222</v>
      </c>
      <c r="G67" s="298" t="s">
        <v>326</v>
      </c>
      <c r="H67" s="298">
        <v>7.5</v>
      </c>
    </row>
    <row r="68" spans="2:8" x14ac:dyDescent="0.2">
      <c r="B68" s="298" t="s">
        <v>111</v>
      </c>
      <c r="C68" s="298" t="s">
        <v>112</v>
      </c>
      <c r="D68" s="298">
        <v>250</v>
      </c>
      <c r="E68" s="298" t="s">
        <v>226</v>
      </c>
      <c r="F68" s="298" t="s">
        <v>222</v>
      </c>
      <c r="G68" s="298" t="s">
        <v>326</v>
      </c>
      <c r="H68" s="298">
        <v>10.5</v>
      </c>
    </row>
    <row r="69" spans="2:8" x14ac:dyDescent="0.2">
      <c r="B69" s="298" t="s">
        <v>111</v>
      </c>
      <c r="C69" s="298" t="s">
        <v>223</v>
      </c>
      <c r="D69" s="298">
        <v>250</v>
      </c>
      <c r="E69" s="298" t="s">
        <v>226</v>
      </c>
      <c r="F69" s="298" t="s">
        <v>222</v>
      </c>
      <c r="G69" s="298" t="s">
        <v>326</v>
      </c>
      <c r="H69" s="298">
        <v>9.5</v>
      </c>
    </row>
    <row r="70" spans="2:8" x14ac:dyDescent="0.2">
      <c r="B70" s="298" t="s">
        <v>133</v>
      </c>
      <c r="C70" s="298" t="s">
        <v>112</v>
      </c>
      <c r="D70" s="298">
        <v>100</v>
      </c>
      <c r="E70" s="298" t="s">
        <v>226</v>
      </c>
      <c r="F70" s="298" t="s">
        <v>222</v>
      </c>
      <c r="G70" s="298" t="s">
        <v>326</v>
      </c>
      <c r="H70" s="298">
        <v>5</v>
      </c>
    </row>
    <row r="71" spans="2:8" x14ac:dyDescent="0.2">
      <c r="B71" s="298" t="s">
        <v>225</v>
      </c>
      <c r="C71" s="298" t="s">
        <v>112</v>
      </c>
      <c r="D71" s="298">
        <v>150</v>
      </c>
      <c r="E71" s="298" t="s">
        <v>114</v>
      </c>
      <c r="F71" s="298" t="s">
        <v>171</v>
      </c>
      <c r="G71" s="298" t="s">
        <v>327</v>
      </c>
      <c r="H71" s="298">
        <v>16</v>
      </c>
    </row>
    <row r="72" spans="2:8" x14ac:dyDescent="0.2">
      <c r="B72" s="298" t="s">
        <v>111</v>
      </c>
      <c r="C72" s="298" t="s">
        <v>112</v>
      </c>
      <c r="D72" s="298">
        <v>200</v>
      </c>
      <c r="E72" s="298" t="s">
        <v>220</v>
      </c>
      <c r="F72" s="298" t="s">
        <v>171</v>
      </c>
      <c r="G72" s="298" t="s">
        <v>328</v>
      </c>
      <c r="H72" s="298">
        <v>8</v>
      </c>
    </row>
    <row r="73" spans="2:8" x14ac:dyDescent="0.2">
      <c r="B73" s="298" t="s">
        <v>225</v>
      </c>
      <c r="C73" s="298" t="s">
        <v>112</v>
      </c>
      <c r="D73" s="298">
        <v>150</v>
      </c>
      <c r="E73" s="298" t="s">
        <v>220</v>
      </c>
      <c r="F73" s="298" t="s">
        <v>113</v>
      </c>
      <c r="G73" s="298">
        <v>46026</v>
      </c>
      <c r="H73" s="298">
        <v>13.75</v>
      </c>
    </row>
    <row r="74" spans="2:8" x14ac:dyDescent="0.2">
      <c r="B74" s="298" t="s">
        <v>111</v>
      </c>
      <c r="C74" s="298" t="s">
        <v>112</v>
      </c>
      <c r="D74" s="298">
        <v>300</v>
      </c>
      <c r="E74" s="298" t="s">
        <v>220</v>
      </c>
      <c r="F74" s="298" t="s">
        <v>113</v>
      </c>
      <c r="G74" s="298" t="s">
        <v>317</v>
      </c>
      <c r="H74" s="298">
        <v>12</v>
      </c>
    </row>
  </sheetData>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O14"/>
  <sheetViews>
    <sheetView rightToLeft="1" zoomScale="110" zoomScaleNormal="110" workbookViewId="0">
      <selection activeCell="O7" sqref="O7"/>
    </sheetView>
  </sheetViews>
  <sheetFormatPr defaultColWidth="9.125" defaultRowHeight="14.25" x14ac:dyDescent="0.2"/>
  <cols>
    <col min="1" max="1" width="5.75" style="298" customWidth="1"/>
    <col min="2" max="2" width="11.625" style="298" bestFit="1" customWidth="1"/>
    <col min="3" max="3" width="10.25" style="298" bestFit="1" customWidth="1"/>
    <col min="4" max="4" width="10.5" style="298" bestFit="1" customWidth="1"/>
    <col min="5" max="5" width="5.75" style="298" customWidth="1"/>
    <col min="6" max="6" width="9" style="298" bestFit="1" customWidth="1"/>
    <col min="7" max="7" width="9.5" style="298" bestFit="1" customWidth="1"/>
    <col min="8" max="8" width="5.75" style="298" customWidth="1"/>
    <col min="9" max="9" width="14" style="298" bestFit="1" customWidth="1"/>
    <col min="10" max="10" width="3.25" style="298" bestFit="1" customWidth="1"/>
    <col min="11" max="11" width="4.25" style="298" bestFit="1" customWidth="1"/>
    <col min="12" max="12" width="5.75" style="298" customWidth="1"/>
    <col min="13" max="13" width="10.375" style="298" bestFit="1" customWidth="1"/>
    <col min="14" max="14" width="9.25" style="298" bestFit="1" customWidth="1"/>
    <col min="15" max="15" width="8.5" style="298" bestFit="1" customWidth="1"/>
    <col min="16" max="16384" width="9.125" style="298"/>
  </cols>
  <sheetData>
    <row r="1" spans="1:15" x14ac:dyDescent="0.2">
      <c r="A1"/>
      <c r="B1"/>
      <c r="C1"/>
      <c r="D1"/>
      <c r="E1"/>
      <c r="F1"/>
      <c r="G1"/>
      <c r="H1"/>
      <c r="I1"/>
      <c r="J1"/>
      <c r="K1"/>
      <c r="L1"/>
      <c r="M1"/>
      <c r="N1"/>
      <c r="O1"/>
    </row>
    <row r="2" spans="1:15" ht="15" x14ac:dyDescent="0.2">
      <c r="A2" s="427"/>
      <c r="B2" s="428" t="s">
        <v>13</v>
      </c>
      <c r="C2" s="428" t="s">
        <v>217</v>
      </c>
      <c r="D2" s="428" t="s">
        <v>188</v>
      </c>
      <c r="E2" s="431"/>
      <c r="F2" s="428" t="s">
        <v>213</v>
      </c>
      <c r="G2" s="433" t="s">
        <v>232</v>
      </c>
      <c r="H2" s="434"/>
      <c r="I2" s="428" t="s">
        <v>262</v>
      </c>
      <c r="J2" s="434"/>
      <c r="K2" s="434"/>
      <c r="L2" s="434"/>
      <c r="M2" s="428" t="s">
        <v>245</v>
      </c>
      <c r="N2" s="428" t="s">
        <v>246</v>
      </c>
      <c r="O2" s="428" t="s">
        <v>45</v>
      </c>
    </row>
    <row r="3" spans="1:15" x14ac:dyDescent="0.2">
      <c r="A3" s="427"/>
      <c r="B3" s="429" t="s">
        <v>14</v>
      </c>
      <c r="C3" s="429" t="s">
        <v>135</v>
      </c>
      <c r="D3" s="429" t="s">
        <v>171</v>
      </c>
      <c r="E3" s="427"/>
      <c r="F3" s="429" t="s">
        <v>135</v>
      </c>
      <c r="G3" s="429" t="s">
        <v>135</v>
      </c>
      <c r="H3" s="427"/>
      <c r="I3" s="435" t="s">
        <v>99</v>
      </c>
      <c r="J3" s="436" t="s">
        <v>38</v>
      </c>
      <c r="K3" s="436" t="s">
        <v>39</v>
      </c>
      <c r="L3" s="427"/>
      <c r="M3" s="429" t="s">
        <v>199</v>
      </c>
      <c r="N3" s="429" t="s">
        <v>207</v>
      </c>
      <c r="O3" s="429" t="s">
        <v>281</v>
      </c>
    </row>
    <row r="4" spans="1:15" x14ac:dyDescent="0.2">
      <c r="A4" s="427"/>
      <c r="B4" s="429" t="s">
        <v>15</v>
      </c>
      <c r="C4" s="429" t="s">
        <v>276</v>
      </c>
      <c r="D4" s="429" t="s">
        <v>193</v>
      </c>
      <c r="E4" s="427"/>
      <c r="F4" s="429" t="s">
        <v>274</v>
      </c>
      <c r="G4" s="429" t="s">
        <v>113</v>
      </c>
      <c r="H4" s="427"/>
      <c r="I4" s="429" t="s">
        <v>101</v>
      </c>
      <c r="J4" s="437">
        <v>33</v>
      </c>
      <c r="K4" s="437">
        <v>24</v>
      </c>
      <c r="L4" s="427"/>
      <c r="M4" s="429" t="s">
        <v>200</v>
      </c>
      <c r="N4" s="429" t="s">
        <v>209</v>
      </c>
      <c r="O4" s="429" t="s">
        <v>287</v>
      </c>
    </row>
    <row r="5" spans="1:15" x14ac:dyDescent="0.2">
      <c r="A5" s="427"/>
      <c r="B5" s="429" t="s">
        <v>18</v>
      </c>
      <c r="C5" s="429" t="s">
        <v>311</v>
      </c>
      <c r="D5" s="429" t="s">
        <v>194</v>
      </c>
      <c r="E5" s="427"/>
      <c r="F5" s="429" t="s">
        <v>277</v>
      </c>
      <c r="G5" s="429" t="s">
        <v>221</v>
      </c>
      <c r="H5" s="427"/>
      <c r="I5" s="429" t="s">
        <v>233</v>
      </c>
      <c r="J5" s="437">
        <v>48</v>
      </c>
      <c r="K5" s="437">
        <v>32</v>
      </c>
      <c r="L5" s="427"/>
      <c r="M5" s="429" t="s">
        <v>202</v>
      </c>
      <c r="N5" s="429" t="s">
        <v>211</v>
      </c>
      <c r="O5" s="429" t="s">
        <v>282</v>
      </c>
    </row>
    <row r="6" spans="1:15" x14ac:dyDescent="0.2">
      <c r="A6" s="427"/>
      <c r="B6" s="429" t="s">
        <v>19</v>
      </c>
      <c r="C6" s="429" t="s">
        <v>219</v>
      </c>
      <c r="D6" s="429" t="s">
        <v>195</v>
      </c>
      <c r="E6" s="427"/>
      <c r="F6" s="429" t="s">
        <v>214</v>
      </c>
      <c r="G6" s="429" t="s">
        <v>222</v>
      </c>
      <c r="H6" s="427"/>
      <c r="I6" s="429" t="s">
        <v>85</v>
      </c>
      <c r="J6" s="437">
        <v>49</v>
      </c>
      <c r="K6" s="437">
        <v>34</v>
      </c>
      <c r="L6" s="427"/>
      <c r="M6" s="429" t="s">
        <v>203</v>
      </c>
      <c r="N6" s="429" t="s">
        <v>122</v>
      </c>
      <c r="O6" s="429" t="s">
        <v>278</v>
      </c>
    </row>
    <row r="7" spans="1:15" x14ac:dyDescent="0.2">
      <c r="A7" s="427"/>
      <c r="B7" s="429" t="s">
        <v>31</v>
      </c>
      <c r="C7" s="429" t="s">
        <v>216</v>
      </c>
      <c r="D7" s="429" t="s">
        <v>265</v>
      </c>
      <c r="E7" s="427"/>
      <c r="F7" s="432" t="s">
        <v>215</v>
      </c>
      <c r="G7" s="429" t="s">
        <v>227</v>
      </c>
      <c r="H7" s="427"/>
      <c r="I7" s="429" t="s">
        <v>110</v>
      </c>
      <c r="J7" s="437">
        <v>69</v>
      </c>
      <c r="K7" s="437">
        <v>49</v>
      </c>
      <c r="L7" s="427"/>
      <c r="M7" s="429" t="s">
        <v>205</v>
      </c>
      <c r="N7" s="429"/>
      <c r="O7" s="429" t="s">
        <v>279</v>
      </c>
    </row>
    <row r="8" spans="1:15" x14ac:dyDescent="0.2">
      <c r="A8" s="427"/>
      <c r="B8" s="429" t="s">
        <v>37</v>
      </c>
      <c r="C8" s="429" t="s">
        <v>218</v>
      </c>
      <c r="D8" s="429"/>
      <c r="E8" s="427"/>
      <c r="F8" s="432" t="s">
        <v>216</v>
      </c>
      <c r="G8" s="429" t="s">
        <v>230</v>
      </c>
      <c r="H8" s="427"/>
      <c r="I8" s="429" t="s">
        <v>115</v>
      </c>
      <c r="J8" s="437">
        <v>99</v>
      </c>
      <c r="K8" s="437">
        <v>69</v>
      </c>
      <c r="L8" s="427"/>
      <c r="M8" s="430"/>
      <c r="N8" s="430"/>
      <c r="O8" s="430" t="s">
        <v>280</v>
      </c>
    </row>
    <row r="9" spans="1:15" x14ac:dyDescent="0.2">
      <c r="A9" s="427"/>
      <c r="B9" s="429" t="s">
        <v>40</v>
      </c>
      <c r="C9" s="430"/>
      <c r="D9" s="430"/>
      <c r="E9" s="427"/>
      <c r="F9" s="432"/>
      <c r="G9" s="429" t="s">
        <v>307</v>
      </c>
      <c r="H9" s="427"/>
      <c r="I9" s="430"/>
      <c r="J9" s="427"/>
      <c r="K9" s="427"/>
      <c r="L9" s="427"/>
      <c r="M9" s="430"/>
      <c r="N9" s="430"/>
      <c r="O9" s="430" t="s">
        <v>302</v>
      </c>
    </row>
    <row r="10" spans="1:15" x14ac:dyDescent="0.2">
      <c r="A10" s="427"/>
      <c r="B10" s="429" t="s">
        <v>36</v>
      </c>
      <c r="C10" s="430"/>
      <c r="D10" s="430"/>
      <c r="E10" s="427"/>
      <c r="F10" s="430"/>
      <c r="G10" s="429" t="s">
        <v>193</v>
      </c>
      <c r="H10" s="427"/>
      <c r="I10" s="430"/>
      <c r="J10" s="427"/>
      <c r="K10" s="427"/>
      <c r="L10" s="427"/>
      <c r="M10" s="430"/>
      <c r="N10" s="430"/>
      <c r="O10" s="430"/>
    </row>
    <row r="11" spans="1:15" x14ac:dyDescent="0.2">
      <c r="A11" s="427"/>
      <c r="B11" s="430"/>
      <c r="C11" s="430"/>
      <c r="D11" s="430"/>
      <c r="E11" s="427"/>
      <c r="F11" s="430"/>
      <c r="G11" s="429" t="s">
        <v>264</v>
      </c>
      <c r="H11" s="427"/>
      <c r="I11" s="430"/>
      <c r="J11" s="427"/>
      <c r="K11" s="427"/>
      <c r="L11" s="427"/>
      <c r="M11" s="430"/>
      <c r="N11" s="430"/>
      <c r="O11" s="430"/>
    </row>
    <row r="12" spans="1:15" x14ac:dyDescent="0.2">
      <c r="A12" s="427"/>
      <c r="B12" s="430"/>
      <c r="C12" s="430"/>
      <c r="D12" s="430"/>
      <c r="E12" s="427"/>
      <c r="F12" s="430"/>
      <c r="G12" s="429" t="s">
        <v>231</v>
      </c>
      <c r="H12" s="427"/>
      <c r="I12" s="430"/>
      <c r="J12" s="427"/>
      <c r="K12" s="427"/>
      <c r="L12" s="427"/>
      <c r="M12" s="430"/>
      <c r="N12" s="430"/>
      <c r="O12" s="430"/>
    </row>
    <row r="13" spans="1:15" x14ac:dyDescent="0.2">
      <c r="A13" s="427"/>
      <c r="B13" s="430"/>
      <c r="C13" s="430"/>
      <c r="D13" s="430"/>
      <c r="E13" s="427"/>
      <c r="F13" s="430"/>
      <c r="G13" s="429" t="s">
        <v>216</v>
      </c>
      <c r="H13" s="427"/>
      <c r="I13" s="430"/>
      <c r="J13" s="427"/>
      <c r="K13" s="427"/>
      <c r="L13" s="427"/>
      <c r="M13" s="430"/>
      <c r="N13" s="430"/>
      <c r="O13" s="430"/>
    </row>
    <row r="14" spans="1:15" x14ac:dyDescent="0.2">
      <c r="A14" s="427"/>
      <c r="B14" s="430"/>
      <c r="C14" s="430"/>
      <c r="D14" s="430"/>
      <c r="E14" s="427"/>
      <c r="F14" s="430"/>
      <c r="G14" s="429" t="s">
        <v>171</v>
      </c>
      <c r="H14" s="427"/>
      <c r="I14" s="430"/>
      <c r="J14" s="427"/>
      <c r="K14" s="427"/>
      <c r="L14" s="427"/>
      <c r="M14" s="430"/>
      <c r="N14" s="430"/>
      <c r="O14" s="430"/>
    </row>
  </sheetData>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
  <sheetViews>
    <sheetView rightToLeft="1" workbookViewId="0"/>
  </sheetViews>
  <sheetFormatPr defaultRowHeight="14.25" x14ac:dyDescent="0.2"/>
  <sheetData>
    <row r="1" spans="1:1" x14ac:dyDescent="0.2">
      <c r="A1" t="s">
        <v>248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07E5854-8B37-4F44-85B1-FBD36CA67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مطبوعات</vt:lpstr>
      <vt:lpstr>يفط</vt:lpstr>
      <vt:lpstr>دفاتر</vt:lpstr>
      <vt:lpstr>أظرف</vt:lpstr>
      <vt:lpstr>حسابات الموردين</vt:lpstr>
      <vt:lpstr>تسعير أوفست</vt:lpstr>
      <vt:lpstr>تسعير ديجيتال</vt:lpstr>
      <vt:lpstr>تسعير أوفست داخلي</vt:lpstr>
      <vt:lpstr>تسعير ديجيتال داخلي</vt:lpstr>
      <vt:lpstr>المطابع</vt:lpstr>
      <vt:lpstr>خدمات الطباعة</vt:lpstr>
      <vt:lpstr>أفلام وزنكات</vt:lpstr>
      <vt:lpstr>أسعار الورق</vt:lpstr>
      <vt:lpstr>Data</vt:lpstr>
      <vt:lpstr>MainSht</vt:lpstr>
      <vt:lpstr>مطبوعات!Print_Area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Manager</dc:creator>
  <cp:lastModifiedBy>MWHEBA Agency</cp:lastModifiedBy>
  <cp:lastPrinted>2021-02-15T18:51:45Z</cp:lastPrinted>
  <dcterms:created xsi:type="dcterms:W3CDTF">2015-06-05T18:17:20Z</dcterms:created>
  <dcterms:modified xsi:type="dcterms:W3CDTF">2026-07-01T12:45:18Z</dcterms:modified>
</cp:coreProperties>
</file>